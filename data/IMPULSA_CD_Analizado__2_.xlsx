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auri\Downloads\"/>
    </mc:Choice>
  </mc:AlternateContent>
  <xr:revisionPtr revIDLastSave="0" documentId="8_{5291986E-4CB1-412D-9912-F27FD73275DB}" xr6:coauthVersionLast="47" xr6:coauthVersionMax="47" xr10:uidLastSave="{00000000-0000-0000-0000-000000000000}"/>
  <bookViews>
    <workbookView xWindow="-110" yWindow="-110" windowWidth="19420" windowHeight="11500" firstSheet="11" activeTab="12" xr2:uid="{00000000-000D-0000-FFFF-FFFF00000000}"/>
  </bookViews>
  <sheets>
    <sheet name="PORTADA" sheetId="1" r:id="rId1"/>
    <sheet name="RESUMEN" sheetId="7" r:id="rId2"/>
    <sheet name="GLOSARIO_GUÍA" sheetId="2" r:id="rId3"/>
    <sheet name="HALLAZGOS_PRELIMINARES" sheetId="17" r:id="rId4"/>
    <sheet name="MAESTRO_SKUs" sheetId="3" r:id="rId5"/>
    <sheet name="ROTACIÓN" sheetId="4" r:id="rId6"/>
    <sheet name="STOCK_ACTUAL" sheetId="5" r:id="rId7"/>
    <sheet name="LAYOUT_CD" sheetId="6" r:id="rId8"/>
    <sheet name="OCUPACION_POR_ZONA" sheetId="13" r:id="rId9"/>
    <sheet name="PEDIDOS ACTUAL" sheetId="12" r:id="rId10"/>
    <sheet name="CONSTRUYE_TU_SLOTTING" sheetId="11" r:id="rId11"/>
    <sheet name="ANALYTICS_BASE" sheetId="14" r:id="rId12"/>
    <sheet name="DASHBOARD_EJECUTIVO" sheetId="15" r:id="rId13"/>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17" l="1"/>
  <c r="D24" i="17"/>
  <c r="D23" i="17"/>
  <c r="D22" i="17"/>
  <c r="D21" i="17"/>
  <c r="D20" i="17"/>
  <c r="D15" i="17"/>
  <c r="D14" i="17"/>
  <c r="D13" i="17"/>
  <c r="D12" i="17"/>
  <c r="D11" i="17"/>
  <c r="BE15" i="15"/>
  <c r="BF15" i="15"/>
  <c r="BG15" i="15"/>
  <c r="BH15" i="15"/>
  <c r="BI15" i="15"/>
  <c r="BJ15" i="15"/>
  <c r="BE16" i="15"/>
  <c r="BF16" i="15"/>
  <c r="BG16" i="15"/>
  <c r="BH16" i="15"/>
  <c r="BI16" i="15"/>
  <c r="BJ16" i="15"/>
  <c r="BE17" i="15"/>
  <c r="BF17" i="15"/>
  <c r="BG17" i="15"/>
  <c r="BH17" i="15"/>
  <c r="BI17" i="15"/>
  <c r="BJ17" i="15"/>
  <c r="BE18" i="15"/>
  <c r="BF18" i="15"/>
  <c r="BG18" i="15"/>
  <c r="BH18" i="15"/>
  <c r="BI18" i="15"/>
  <c r="BJ18" i="15"/>
  <c r="BJ14" i="15"/>
  <c r="BI14" i="15"/>
  <c r="BH14" i="15"/>
  <c r="BG14" i="15"/>
  <c r="BF14" i="15"/>
  <c r="BE14" i="15"/>
  <c r="BF6" i="15"/>
  <c r="BG6" i="15"/>
  <c r="BH6" i="15"/>
  <c r="BI6" i="15"/>
  <c r="BJ6" i="15"/>
  <c r="BF7" i="15"/>
  <c r="BG7" i="15"/>
  <c r="BH7" i="15"/>
  <c r="BI7" i="15"/>
  <c r="BJ7" i="15"/>
  <c r="BF8" i="15"/>
  <c r="BG8" i="15"/>
  <c r="BH8" i="15"/>
  <c r="BI8" i="15"/>
  <c r="BJ8" i="15"/>
  <c r="BF9" i="15"/>
  <c r="BG9" i="15"/>
  <c r="BH9" i="15"/>
  <c r="BI9" i="15"/>
  <c r="BJ9" i="15"/>
  <c r="BJ5" i="15"/>
  <c r="BI5" i="15"/>
  <c r="BH5" i="15"/>
  <c r="BG5" i="15"/>
  <c r="BF5" i="15"/>
  <c r="H139" i="15"/>
  <c r="G139" i="15"/>
  <c r="F139" i="15"/>
  <c r="C139" i="15"/>
  <c r="A122" i="15"/>
  <c r="B122" i="15"/>
  <c r="C122" i="15"/>
  <c r="D122" i="15"/>
  <c r="E122" i="15"/>
  <c r="F122" i="15"/>
  <c r="G122" i="15"/>
  <c r="H122" i="15"/>
  <c r="A123" i="15"/>
  <c r="B123" i="15"/>
  <c r="C123" i="15"/>
  <c r="D123" i="15"/>
  <c r="E123" i="15"/>
  <c r="F123" i="15"/>
  <c r="G123" i="15"/>
  <c r="H123" i="15"/>
  <c r="A124" i="15"/>
  <c r="B124" i="15"/>
  <c r="C124" i="15"/>
  <c r="D124" i="15"/>
  <c r="E124" i="15"/>
  <c r="F124" i="15"/>
  <c r="G124" i="15"/>
  <c r="H124" i="15"/>
  <c r="A125" i="15"/>
  <c r="B125" i="15"/>
  <c r="C125" i="15"/>
  <c r="D125" i="15"/>
  <c r="E125" i="15"/>
  <c r="F125" i="15"/>
  <c r="G125" i="15"/>
  <c r="H125" i="15"/>
  <c r="A126" i="15"/>
  <c r="B126" i="15"/>
  <c r="C126" i="15"/>
  <c r="D126" i="15"/>
  <c r="E126" i="15"/>
  <c r="F126" i="15"/>
  <c r="G126" i="15"/>
  <c r="H126" i="15"/>
  <c r="A127" i="15"/>
  <c r="B127" i="15"/>
  <c r="C127" i="15"/>
  <c r="D127" i="15"/>
  <c r="E127" i="15"/>
  <c r="F127" i="15"/>
  <c r="G127" i="15"/>
  <c r="H127" i="15"/>
  <c r="A128" i="15"/>
  <c r="B128" i="15"/>
  <c r="C128" i="15"/>
  <c r="D128" i="15"/>
  <c r="E128" i="15"/>
  <c r="F128" i="15"/>
  <c r="G128" i="15"/>
  <c r="H128" i="15"/>
  <c r="A129" i="15"/>
  <c r="B129" i="15"/>
  <c r="C129" i="15"/>
  <c r="D129" i="15"/>
  <c r="E129" i="15"/>
  <c r="F129" i="15"/>
  <c r="G129" i="15"/>
  <c r="H129" i="15"/>
  <c r="A130" i="15"/>
  <c r="B130" i="15"/>
  <c r="C130" i="15"/>
  <c r="D130" i="15"/>
  <c r="E130" i="15"/>
  <c r="F130" i="15"/>
  <c r="G130" i="15"/>
  <c r="H130" i="15"/>
  <c r="A131" i="15"/>
  <c r="B131" i="15"/>
  <c r="C131" i="15"/>
  <c r="D131" i="15"/>
  <c r="E131" i="15"/>
  <c r="F131" i="15"/>
  <c r="G131" i="15"/>
  <c r="H131" i="15"/>
  <c r="A132" i="15"/>
  <c r="B132" i="15"/>
  <c r="C132" i="15"/>
  <c r="D132" i="15"/>
  <c r="E132" i="15"/>
  <c r="F132" i="15"/>
  <c r="G132" i="15"/>
  <c r="H132" i="15"/>
  <c r="A133" i="15"/>
  <c r="B133" i="15"/>
  <c r="C133" i="15"/>
  <c r="D133" i="15"/>
  <c r="E133" i="15"/>
  <c r="F133" i="15"/>
  <c r="G133" i="15"/>
  <c r="H133" i="15"/>
  <c r="A134" i="15"/>
  <c r="B134" i="15"/>
  <c r="C134" i="15"/>
  <c r="D134" i="15"/>
  <c r="E134" i="15"/>
  <c r="F134" i="15"/>
  <c r="G134" i="15"/>
  <c r="H134" i="15"/>
  <c r="A135" i="15"/>
  <c r="B135" i="15"/>
  <c r="C135" i="15"/>
  <c r="D135" i="15"/>
  <c r="E135" i="15"/>
  <c r="F135" i="15"/>
  <c r="G135" i="15"/>
  <c r="H135" i="15"/>
  <c r="A136" i="15"/>
  <c r="B136" i="15"/>
  <c r="C136" i="15"/>
  <c r="D136" i="15"/>
  <c r="E136" i="15"/>
  <c r="F136" i="15"/>
  <c r="G136" i="15"/>
  <c r="H136" i="15"/>
  <c r="A137" i="15"/>
  <c r="B137" i="15"/>
  <c r="C137" i="15"/>
  <c r="D137" i="15"/>
  <c r="E137" i="15"/>
  <c r="F137" i="15"/>
  <c r="G137" i="15"/>
  <c r="H137" i="15"/>
  <c r="A138" i="15"/>
  <c r="B138" i="15"/>
  <c r="C138" i="15"/>
  <c r="D138" i="15"/>
  <c r="E138" i="15"/>
  <c r="F138" i="15"/>
  <c r="G138" i="15"/>
  <c r="H138" i="15"/>
  <c r="H121" i="15"/>
  <c r="G121" i="15"/>
  <c r="F121" i="15"/>
  <c r="E121" i="15"/>
  <c r="D121" i="15"/>
  <c r="C121" i="15"/>
  <c r="B121" i="15"/>
  <c r="A121" i="15"/>
  <c r="BY6" i="15"/>
  <c r="BZ6" i="15"/>
  <c r="CA6" i="15"/>
  <c r="BY7" i="15"/>
  <c r="BZ7" i="15"/>
  <c r="CA7" i="15"/>
  <c r="BY8" i="15"/>
  <c r="BZ8" i="15"/>
  <c r="CA8" i="15"/>
  <c r="BY9" i="15"/>
  <c r="BZ9" i="15"/>
  <c r="CA9" i="15"/>
  <c r="BY10" i="15"/>
  <c r="BZ10" i="15"/>
  <c r="CA10" i="15"/>
  <c r="BY11" i="15"/>
  <c r="BZ11" i="15"/>
  <c r="CA11" i="15"/>
  <c r="BY12" i="15"/>
  <c r="BZ12" i="15"/>
  <c r="CA12" i="15"/>
  <c r="BY13" i="15"/>
  <c r="BZ13" i="15"/>
  <c r="CA13" i="15"/>
  <c r="BY14" i="15"/>
  <c r="BZ14" i="15"/>
  <c r="CA14" i="15"/>
  <c r="BY15" i="15"/>
  <c r="BZ15" i="15"/>
  <c r="CA15" i="15"/>
  <c r="BY16" i="15"/>
  <c r="BZ16" i="15"/>
  <c r="CA16" i="15"/>
  <c r="BY17" i="15"/>
  <c r="BZ17" i="15"/>
  <c r="CA17" i="15"/>
  <c r="BY18" i="15"/>
  <c r="BZ18" i="15"/>
  <c r="CA18" i="15"/>
  <c r="BY19" i="15"/>
  <c r="BZ19" i="15"/>
  <c r="CA19" i="15"/>
  <c r="BY20" i="15"/>
  <c r="BZ20" i="15"/>
  <c r="CA20" i="15"/>
  <c r="BY21" i="15"/>
  <c r="BZ21" i="15"/>
  <c r="CA21" i="15"/>
  <c r="BY22" i="15"/>
  <c r="BZ22" i="15"/>
  <c r="CA22" i="15"/>
  <c r="BY23" i="15"/>
  <c r="BZ23" i="15"/>
  <c r="CA23" i="15"/>
  <c r="BY24" i="15"/>
  <c r="BZ24" i="15"/>
  <c r="CA24" i="15"/>
  <c r="CA5" i="15"/>
  <c r="BZ5" i="15"/>
  <c r="BY5" i="15"/>
  <c r="BT6" i="15"/>
  <c r="BU6" i="15"/>
  <c r="BV6" i="15"/>
  <c r="BT7" i="15"/>
  <c r="BU7" i="15"/>
  <c r="BV7" i="15"/>
  <c r="BT8" i="15"/>
  <c r="BU8" i="15"/>
  <c r="BV8" i="15"/>
  <c r="BT9" i="15"/>
  <c r="BU9" i="15"/>
  <c r="BV9" i="15"/>
  <c r="BT10" i="15"/>
  <c r="BU10" i="15"/>
  <c r="BV10" i="15"/>
  <c r="BT11" i="15"/>
  <c r="BU11" i="15"/>
  <c r="BV11" i="15"/>
  <c r="BT12" i="15"/>
  <c r="BU12" i="15"/>
  <c r="BV12" i="15"/>
  <c r="BT13" i="15"/>
  <c r="BU13" i="15"/>
  <c r="BV13" i="15"/>
  <c r="BV5" i="15"/>
  <c r="BU5" i="15"/>
  <c r="BT5" i="15"/>
  <c r="BW21" i="15"/>
  <c r="BW22" i="15"/>
  <c r="BW23" i="15"/>
  <c r="BW24" i="15"/>
  <c r="BW25" i="15"/>
  <c r="BW26" i="15"/>
  <c r="BW27" i="15"/>
  <c r="BW28" i="15"/>
  <c r="BW20" i="15"/>
  <c r="BP6" i="15"/>
  <c r="BQ6" i="15"/>
  <c r="BR6" i="15"/>
  <c r="BP7" i="15"/>
  <c r="BQ7" i="15"/>
  <c r="BR7" i="15"/>
  <c r="BP8" i="15"/>
  <c r="BQ8" i="15"/>
  <c r="BR8" i="15"/>
  <c r="BP9" i="15"/>
  <c r="BQ9" i="15"/>
  <c r="BR9" i="15"/>
  <c r="BP10" i="15"/>
  <c r="BQ10" i="15"/>
  <c r="BR10" i="15"/>
  <c r="BP11" i="15"/>
  <c r="BQ11" i="15"/>
  <c r="BR11" i="15"/>
  <c r="BP12" i="15"/>
  <c r="BQ12" i="15"/>
  <c r="BR12" i="15"/>
  <c r="BP13" i="15"/>
  <c r="BQ13" i="15"/>
  <c r="BR13" i="15"/>
  <c r="BR5" i="15"/>
  <c r="BQ5" i="15"/>
  <c r="BP5" i="15"/>
  <c r="G72" i="15"/>
  <c r="F72" i="15"/>
  <c r="E72" i="15"/>
  <c r="D72" i="15"/>
  <c r="A72" i="15"/>
  <c r="H71" i="15"/>
  <c r="G71" i="15"/>
  <c r="F71" i="15"/>
  <c r="E71" i="15"/>
  <c r="I71" i="15" s="1"/>
  <c r="D71" i="15"/>
  <c r="A71" i="15"/>
  <c r="G70" i="15"/>
  <c r="F70" i="15"/>
  <c r="E70" i="15"/>
  <c r="D70" i="15"/>
  <c r="A70" i="15"/>
  <c r="G69" i="15"/>
  <c r="F69" i="15"/>
  <c r="E69" i="15"/>
  <c r="D69" i="15"/>
  <c r="A69" i="15"/>
  <c r="G68" i="15"/>
  <c r="F68" i="15"/>
  <c r="E68" i="15"/>
  <c r="D68" i="15"/>
  <c r="A68" i="15"/>
  <c r="G67" i="15"/>
  <c r="F67" i="15"/>
  <c r="E67" i="15"/>
  <c r="D67" i="15"/>
  <c r="A67" i="15"/>
  <c r="G66" i="15"/>
  <c r="F66" i="15"/>
  <c r="E66" i="15"/>
  <c r="D66" i="15"/>
  <c r="A66" i="15"/>
  <c r="G65" i="15"/>
  <c r="F65" i="15"/>
  <c r="E65" i="15"/>
  <c r="D65" i="15"/>
  <c r="A65" i="15"/>
  <c r="I64" i="15"/>
  <c r="H64" i="15"/>
  <c r="G64" i="15"/>
  <c r="F64" i="15"/>
  <c r="E64" i="15"/>
  <c r="D64" i="15"/>
  <c r="A64" i="15"/>
  <c r="BL6" i="15"/>
  <c r="BM6" i="15"/>
  <c r="BN6" i="15"/>
  <c r="BL7" i="15"/>
  <c r="BM7" i="15"/>
  <c r="BN7" i="15"/>
  <c r="BL8" i="15"/>
  <c r="BM8" i="15"/>
  <c r="BN8" i="15"/>
  <c r="BL9" i="15"/>
  <c r="BM9" i="15"/>
  <c r="BN9" i="15"/>
  <c r="BL10" i="15"/>
  <c r="BM10" i="15"/>
  <c r="BN10" i="15"/>
  <c r="BL11" i="15"/>
  <c r="BM11" i="15"/>
  <c r="BN11" i="15"/>
  <c r="BL12" i="15"/>
  <c r="BM12" i="15"/>
  <c r="BN12" i="15"/>
  <c r="BN5" i="15"/>
  <c r="BM5" i="15"/>
  <c r="BL5" i="15"/>
  <c r="G44" i="15"/>
  <c r="F44" i="15"/>
  <c r="D44" i="15"/>
  <c r="E44" i="15" s="1"/>
  <c r="A44" i="15"/>
  <c r="G43" i="15"/>
  <c r="F43" i="15"/>
  <c r="D43" i="15"/>
  <c r="E43" i="15" s="1"/>
  <c r="A43" i="15"/>
  <c r="G42" i="15"/>
  <c r="F42" i="15"/>
  <c r="D42" i="15"/>
  <c r="E42" i="15" s="1"/>
  <c r="A42" i="15"/>
  <c r="G41" i="15"/>
  <c r="F41" i="15"/>
  <c r="D41" i="15"/>
  <c r="E41" i="15" s="1"/>
  <c r="A41" i="15"/>
  <c r="G40" i="15"/>
  <c r="F40" i="15"/>
  <c r="D40" i="15"/>
  <c r="E40" i="15" s="1"/>
  <c r="A40" i="15"/>
  <c r="G39" i="15"/>
  <c r="F39" i="15"/>
  <c r="D39" i="15"/>
  <c r="E39" i="15" s="1"/>
  <c r="A39" i="15"/>
  <c r="G38" i="15"/>
  <c r="F38" i="15"/>
  <c r="D38" i="15"/>
  <c r="E38" i="15" s="1"/>
  <c r="A38" i="15"/>
  <c r="G37" i="15"/>
  <c r="F37" i="15"/>
  <c r="E37" i="15"/>
  <c r="D37" i="15"/>
  <c r="A37" i="15"/>
  <c r="G36" i="15"/>
  <c r="F36" i="15"/>
  <c r="E36" i="15"/>
  <c r="D36" i="15"/>
  <c r="A36" i="15"/>
  <c r="BE9" i="15"/>
  <c r="BE8" i="15"/>
  <c r="BE7" i="15"/>
  <c r="BE6" i="15"/>
  <c r="BE5" i="15"/>
  <c r="BC104" i="15"/>
  <c r="BB104" i="15"/>
  <c r="BA104" i="15"/>
  <c r="BC103" i="15"/>
  <c r="BB103" i="15"/>
  <c r="BA103" i="15"/>
  <c r="BC102" i="15"/>
  <c r="BB102" i="15"/>
  <c r="BA102" i="15"/>
  <c r="BC101" i="15"/>
  <c r="BB101" i="15"/>
  <c r="BA101" i="15"/>
  <c r="BC100" i="15"/>
  <c r="BB100" i="15"/>
  <c r="BA100" i="15"/>
  <c r="BC99" i="15"/>
  <c r="BB99" i="15"/>
  <c r="BA99" i="15"/>
  <c r="BC98" i="15"/>
  <c r="BB98" i="15"/>
  <c r="BA98" i="15"/>
  <c r="BC97" i="15"/>
  <c r="BB97" i="15"/>
  <c r="BA97" i="15"/>
  <c r="BC96" i="15"/>
  <c r="BB96" i="15"/>
  <c r="BA96" i="15"/>
  <c r="BC95" i="15"/>
  <c r="BB95" i="15"/>
  <c r="BA95" i="15"/>
  <c r="BC94" i="15"/>
  <c r="BB94" i="15"/>
  <c r="BA94" i="15"/>
  <c r="BC93" i="15"/>
  <c r="BB93" i="15"/>
  <c r="BA93" i="15"/>
  <c r="BC92" i="15"/>
  <c r="BB92" i="15"/>
  <c r="BA92" i="15"/>
  <c r="BC91" i="15"/>
  <c r="BB91" i="15"/>
  <c r="BA91" i="15"/>
  <c r="BC90" i="15"/>
  <c r="BB90" i="15"/>
  <c r="BA90" i="15"/>
  <c r="BC89" i="15"/>
  <c r="BB89" i="15"/>
  <c r="BA89" i="15"/>
  <c r="BC88" i="15"/>
  <c r="BB88" i="15"/>
  <c r="BA88" i="15"/>
  <c r="BC87" i="15"/>
  <c r="BB87" i="15"/>
  <c r="BA87" i="15"/>
  <c r="BC86" i="15"/>
  <c r="BB86" i="15"/>
  <c r="BA86" i="15"/>
  <c r="BC85" i="15"/>
  <c r="BB85" i="15"/>
  <c r="BA85" i="15"/>
  <c r="BC84" i="15"/>
  <c r="BB84" i="15"/>
  <c r="BA84" i="15"/>
  <c r="BC83" i="15"/>
  <c r="BB83" i="15"/>
  <c r="BA83" i="15"/>
  <c r="BC82" i="15"/>
  <c r="BB82" i="15"/>
  <c r="BA82" i="15"/>
  <c r="BC81" i="15"/>
  <c r="BB81" i="15"/>
  <c r="BA81" i="15"/>
  <c r="BC80" i="15"/>
  <c r="BB80" i="15"/>
  <c r="BA80" i="15"/>
  <c r="BC79" i="15"/>
  <c r="BB79" i="15"/>
  <c r="BA79" i="15"/>
  <c r="BC78" i="15"/>
  <c r="BB78" i="15"/>
  <c r="BA78" i="15"/>
  <c r="BC77" i="15"/>
  <c r="BB77" i="15"/>
  <c r="BA77" i="15"/>
  <c r="BC76" i="15"/>
  <c r="BB76" i="15"/>
  <c r="BA76" i="15"/>
  <c r="BC75" i="15"/>
  <c r="BB75" i="15"/>
  <c r="BA75" i="15"/>
  <c r="BC74" i="15"/>
  <c r="BB74" i="15"/>
  <c r="BA74" i="15"/>
  <c r="BC73" i="15"/>
  <c r="BB73" i="15"/>
  <c r="BA73" i="15"/>
  <c r="BC72" i="15"/>
  <c r="BB72" i="15"/>
  <c r="BA72" i="15"/>
  <c r="BC71" i="15"/>
  <c r="BB71" i="15"/>
  <c r="BA71" i="15"/>
  <c r="BC70" i="15"/>
  <c r="BB70" i="15"/>
  <c r="BA70" i="15"/>
  <c r="BC69" i="15"/>
  <c r="BB69" i="15"/>
  <c r="BA69" i="15"/>
  <c r="BC68" i="15"/>
  <c r="BB68" i="15"/>
  <c r="BA68" i="15"/>
  <c r="BC67" i="15"/>
  <c r="BB67" i="15"/>
  <c r="BA67" i="15"/>
  <c r="BC66" i="15"/>
  <c r="BB66" i="15"/>
  <c r="BA66" i="15"/>
  <c r="BC65" i="15"/>
  <c r="BB65" i="15"/>
  <c r="BA65" i="15"/>
  <c r="BC64" i="15"/>
  <c r="BB64" i="15"/>
  <c r="BA64" i="15"/>
  <c r="BC63" i="15"/>
  <c r="BB63" i="15"/>
  <c r="BA63" i="15"/>
  <c r="BC62" i="15"/>
  <c r="BB62" i="15"/>
  <c r="BA62" i="15"/>
  <c r="BC61" i="15"/>
  <c r="BB61" i="15"/>
  <c r="BA61" i="15"/>
  <c r="BC60" i="15"/>
  <c r="BB60" i="15"/>
  <c r="BA60" i="15"/>
  <c r="BC59" i="15"/>
  <c r="BB59" i="15"/>
  <c r="BA59" i="15"/>
  <c r="BC58" i="15"/>
  <c r="BB58" i="15"/>
  <c r="BA58" i="15"/>
  <c r="BC57" i="15"/>
  <c r="BB57" i="15"/>
  <c r="BA57" i="15"/>
  <c r="BC56" i="15"/>
  <c r="BB56" i="15"/>
  <c r="BA56" i="15"/>
  <c r="BC55" i="15"/>
  <c r="BB55" i="15"/>
  <c r="BA55" i="15"/>
  <c r="BC54" i="15"/>
  <c r="BB54" i="15"/>
  <c r="BA54" i="15"/>
  <c r="BC53" i="15"/>
  <c r="BB53" i="15"/>
  <c r="BA53" i="15"/>
  <c r="BC52" i="15"/>
  <c r="BB52" i="15"/>
  <c r="BA52" i="15"/>
  <c r="BC51" i="15"/>
  <c r="BB51" i="15"/>
  <c r="BA51" i="15"/>
  <c r="BC50" i="15"/>
  <c r="BB50" i="15"/>
  <c r="BA50" i="15"/>
  <c r="BC49" i="15"/>
  <c r="BB49" i="15"/>
  <c r="BA49" i="15"/>
  <c r="BC48" i="15"/>
  <c r="BB48" i="15"/>
  <c r="BA48" i="15"/>
  <c r="BC47" i="15"/>
  <c r="BB47" i="15"/>
  <c r="BA47" i="15"/>
  <c r="BC46" i="15"/>
  <c r="BB46" i="15"/>
  <c r="BA46" i="15"/>
  <c r="BC45" i="15"/>
  <c r="BB45" i="15"/>
  <c r="BA45" i="15"/>
  <c r="BC44" i="15"/>
  <c r="BB44" i="15"/>
  <c r="BA44" i="15"/>
  <c r="BC43" i="15"/>
  <c r="BB43" i="15"/>
  <c r="BA43" i="15"/>
  <c r="BC42" i="15"/>
  <c r="BB42" i="15"/>
  <c r="BA42" i="15"/>
  <c r="BC41" i="15"/>
  <c r="BB41" i="15"/>
  <c r="BA41" i="15"/>
  <c r="BC40" i="15"/>
  <c r="BB40" i="15"/>
  <c r="BA40" i="15"/>
  <c r="BC39" i="15"/>
  <c r="BB39" i="15"/>
  <c r="BA39" i="15"/>
  <c r="BC38" i="15"/>
  <c r="BB38" i="15"/>
  <c r="BA38" i="15"/>
  <c r="BC37" i="15"/>
  <c r="BB37" i="15"/>
  <c r="BA37" i="15"/>
  <c r="BC36" i="15"/>
  <c r="BB36" i="15"/>
  <c r="BA36" i="15"/>
  <c r="BC35" i="15"/>
  <c r="BB35" i="15"/>
  <c r="BA35" i="15"/>
  <c r="BC34" i="15"/>
  <c r="BB34" i="15"/>
  <c r="BA34" i="15"/>
  <c r="BC33" i="15"/>
  <c r="BB33" i="15"/>
  <c r="BA33" i="15"/>
  <c r="BC32" i="15"/>
  <c r="BB32" i="15"/>
  <c r="BA32" i="15"/>
  <c r="BC31" i="15"/>
  <c r="BB31" i="15"/>
  <c r="BA31" i="15"/>
  <c r="BC30" i="15"/>
  <c r="BB30" i="15"/>
  <c r="BA30" i="15"/>
  <c r="BC29" i="15"/>
  <c r="BB29" i="15"/>
  <c r="BA29" i="15"/>
  <c r="BC28" i="15"/>
  <c r="BB28" i="15"/>
  <c r="BA28" i="15"/>
  <c r="BC27" i="15"/>
  <c r="BB27" i="15"/>
  <c r="BA27" i="15"/>
  <c r="BC26" i="15"/>
  <c r="BB26" i="15"/>
  <c r="BA26" i="15"/>
  <c r="BC25" i="15"/>
  <c r="BB25" i="15"/>
  <c r="BA25" i="15"/>
  <c r="BC24" i="15"/>
  <c r="BB24" i="15"/>
  <c r="BA24" i="15"/>
  <c r="BC23" i="15"/>
  <c r="BB23" i="15"/>
  <c r="BA23" i="15"/>
  <c r="BC22" i="15"/>
  <c r="BB22" i="15"/>
  <c r="BA22" i="15"/>
  <c r="BC21" i="15"/>
  <c r="BB21" i="15"/>
  <c r="BA21" i="15"/>
  <c r="BC20" i="15"/>
  <c r="BB20" i="15"/>
  <c r="BA20" i="15"/>
  <c r="BC19" i="15"/>
  <c r="BB19" i="15"/>
  <c r="BA19" i="15"/>
  <c r="BC18" i="15"/>
  <c r="BB18" i="15"/>
  <c r="BA18" i="15"/>
  <c r="BC17" i="15"/>
  <c r="BB17" i="15"/>
  <c r="BA17" i="15"/>
  <c r="BC16" i="15"/>
  <c r="BB16" i="15"/>
  <c r="BA16" i="15"/>
  <c r="BC15" i="15"/>
  <c r="BB15" i="15"/>
  <c r="BA15" i="15"/>
  <c r="BC14" i="15"/>
  <c r="BB14" i="15"/>
  <c r="BA14" i="15"/>
  <c r="BC13" i="15"/>
  <c r="BB13" i="15"/>
  <c r="BA13" i="15"/>
  <c r="BC12" i="15"/>
  <c r="BB12" i="15"/>
  <c r="BA12" i="15"/>
  <c r="BC11" i="15"/>
  <c r="BB11" i="15"/>
  <c r="BA11" i="15"/>
  <c r="BC10" i="15"/>
  <c r="BB10" i="15"/>
  <c r="BA10" i="15"/>
  <c r="BC9" i="15"/>
  <c r="BB9" i="15"/>
  <c r="BA9" i="15"/>
  <c r="BC8" i="15"/>
  <c r="BB8" i="15"/>
  <c r="BA8" i="15"/>
  <c r="BC7" i="15"/>
  <c r="BB7" i="15"/>
  <c r="BA7" i="15"/>
  <c r="BC6" i="15"/>
  <c r="BB6" i="15"/>
  <c r="BA6" i="15"/>
  <c r="BC5" i="15"/>
  <c r="BB5" i="15"/>
  <c r="BA5" i="15"/>
  <c r="Q112" i="14"/>
  <c r="Q111" i="14"/>
  <c r="Q110" i="14"/>
  <c r="Q109" i="14"/>
  <c r="Q108" i="14"/>
  <c r="Q107" i="14"/>
  <c r="Q106" i="14"/>
  <c r="Q105" i="14"/>
  <c r="Q104" i="14"/>
  <c r="Q103" i="14"/>
  <c r="Q102" i="14"/>
  <c r="Q101" i="14"/>
  <c r="W97" i="14"/>
  <c r="X97" i="14" s="1"/>
  <c r="V97" i="14"/>
  <c r="U97" i="14"/>
  <c r="T97" i="14" a="1"/>
  <c r="S97" i="14" a="1"/>
  <c r="R97" i="14" a="1"/>
  <c r="Q97" i="14"/>
  <c r="W96" i="14"/>
  <c r="X96" i="14" s="1"/>
  <c r="V96" i="14"/>
  <c r="U96" i="14"/>
  <c r="T96" i="14" a="1"/>
  <c r="S96" i="14" a="1"/>
  <c r="R96" i="14" a="1"/>
  <c r="Q96" i="14"/>
  <c r="W95" i="14"/>
  <c r="X95" i="14" s="1"/>
  <c r="V95" i="14"/>
  <c r="U95" i="14"/>
  <c r="T95" i="14" a="1"/>
  <c r="S95" i="14" a="1"/>
  <c r="R95" i="14" a="1"/>
  <c r="Q95" i="14"/>
  <c r="W94" i="14"/>
  <c r="X94" i="14" s="1"/>
  <c r="V94" i="14"/>
  <c r="U94" i="14"/>
  <c r="T94" i="14" a="1"/>
  <c r="S94" i="14" a="1"/>
  <c r="R94" i="14" a="1"/>
  <c r="Q94" i="14"/>
  <c r="X93" i="14"/>
  <c r="W93" i="14"/>
  <c r="V93" i="14"/>
  <c r="U93" i="14"/>
  <c r="T93" i="14" a="1"/>
  <c r="S93" i="14" a="1"/>
  <c r="R93" i="14" a="1"/>
  <c r="Q93" i="14"/>
  <c r="X89" i="14"/>
  <c r="V89" i="14"/>
  <c r="U89" i="14"/>
  <c r="T89" i="14" a="1"/>
  <c r="W89" i="14" s="1"/>
  <c r="S89" i="14" a="1"/>
  <c r="R89" i="14" a="1"/>
  <c r="Q89" i="14"/>
  <c r="X88" i="14"/>
  <c r="V88" i="14"/>
  <c r="U88" i="14"/>
  <c r="T88" i="14" a="1"/>
  <c r="W88" i="14" s="1"/>
  <c r="S88" i="14" a="1"/>
  <c r="R88" i="14" a="1"/>
  <c r="Q88" i="14"/>
  <c r="X87" i="14"/>
  <c r="V87" i="14"/>
  <c r="U87" i="14"/>
  <c r="T87" i="14" a="1"/>
  <c r="W87" i="14" s="1"/>
  <c r="S87" i="14" a="1"/>
  <c r="R87" i="14" a="1"/>
  <c r="Q87" i="14"/>
  <c r="X86" i="14"/>
  <c r="V86" i="14"/>
  <c r="U86" i="14"/>
  <c r="T86" i="14" a="1"/>
  <c r="W86" i="14" s="1"/>
  <c r="S86" i="14" a="1"/>
  <c r="R86" i="14" a="1"/>
  <c r="Q86" i="14"/>
  <c r="X85" i="14"/>
  <c r="W85" i="14"/>
  <c r="V85" i="14"/>
  <c r="U85" i="14"/>
  <c r="T85" i="14" a="1"/>
  <c r="S85" i="14" a="1"/>
  <c r="R85" i="14" a="1"/>
  <c r="Q85" i="14"/>
  <c r="W76" i="14"/>
  <c r="V76" i="14"/>
  <c r="U76" i="14"/>
  <c r="Q76" i="14"/>
  <c r="P74" i="14" a="1"/>
  <c r="P73" i="14" a="1"/>
  <c r="P72" i="14" a="1"/>
  <c r="P71" i="14" a="1"/>
  <c r="P70" i="14" a="1"/>
  <c r="P69" i="14" a="1"/>
  <c r="P68" i="14" a="1"/>
  <c r="P67" i="14" a="1"/>
  <c r="P66" i="14" a="1"/>
  <c r="P65" i="14" a="1"/>
  <c r="P64" i="14" a="1"/>
  <c r="P63" i="14" a="1"/>
  <c r="P62" i="14" a="1"/>
  <c r="P61" i="14" a="1"/>
  <c r="P60" i="14" a="1"/>
  <c r="P59" i="14" a="1"/>
  <c r="P58" i="14" a="1"/>
  <c r="W57" i="14"/>
  <c r="V57" i="14"/>
  <c r="U57" i="14"/>
  <c r="T57" i="14"/>
  <c r="S57" i="14"/>
  <c r="R57" i="14"/>
  <c r="Q57" i="14"/>
  <c r="P57" i="14" a="1"/>
  <c r="P51" i="14" a="1"/>
  <c r="P50" i="14" a="1"/>
  <c r="P49" i="14" a="1"/>
  <c r="P48" i="14" a="1"/>
  <c r="P47" i="14" a="1"/>
  <c r="P46" i="14" a="1"/>
  <c r="P45" i="14" a="1"/>
  <c r="P44" i="14" a="1"/>
  <c r="P43" i="14" a="1"/>
  <c r="P42" i="14" a="1"/>
  <c r="P41" i="14" a="1"/>
  <c r="P40" i="14" a="1"/>
  <c r="P39" i="14" a="1"/>
  <c r="P38" i="14" a="1"/>
  <c r="P37" i="14" a="1"/>
  <c r="P36" i="14" a="1"/>
  <c r="P35" i="14" a="1"/>
  <c r="P34" i="14" a="1"/>
  <c r="P33" i="14" a="1"/>
  <c r="P32" i="14" a="1"/>
  <c r="Q51" i="14"/>
  <c r="Q50" i="14"/>
  <c r="Q49" i="14"/>
  <c r="Q48" i="14"/>
  <c r="Q47" i="14"/>
  <c r="Q46" i="14"/>
  <c r="Q45" i="14"/>
  <c r="Q44" i="14"/>
  <c r="Q43" i="14"/>
  <c r="Q42" i="14"/>
  <c r="Q41" i="14"/>
  <c r="Q40" i="14"/>
  <c r="Q39" i="14"/>
  <c r="Q38" i="14"/>
  <c r="Q37" i="14"/>
  <c r="Q36" i="14"/>
  <c r="Q35" i="14"/>
  <c r="Q34" i="14"/>
  <c r="Q33" i="14"/>
  <c r="R32" i="14"/>
  <c r="Q32" i="14"/>
  <c r="P28" i="14"/>
  <c r="P27" i="14"/>
  <c r="P26" i="14"/>
  <c r="P25" i="14"/>
  <c r="P24" i="14"/>
  <c r="P23" i="14"/>
  <c r="P22" i="14"/>
  <c r="P21" i="14"/>
  <c r="AA20" i="14"/>
  <c r="Z20" i="14"/>
  <c r="Y20" i="14"/>
  <c r="X20" i="14"/>
  <c r="W20" i="14"/>
  <c r="V20" i="14"/>
  <c r="U20" i="14"/>
  <c r="T20" i="14"/>
  <c r="S20" i="14"/>
  <c r="R20" i="14"/>
  <c r="Q20" i="14"/>
  <c r="P20" i="14"/>
  <c r="T16" i="14"/>
  <c r="S16" i="14"/>
  <c r="R16" i="14"/>
  <c r="Q16" i="14"/>
  <c r="T15" i="14"/>
  <c r="S15" i="14"/>
  <c r="R15" i="14"/>
  <c r="Q15" i="14"/>
  <c r="T14" i="14"/>
  <c r="S14" i="14"/>
  <c r="R14" i="14"/>
  <c r="Q14" i="14"/>
  <c r="T13" i="14"/>
  <c r="S13" i="14"/>
  <c r="R13" i="14"/>
  <c r="Q13" i="14"/>
  <c r="T12" i="14"/>
  <c r="S12" i="14"/>
  <c r="R12" i="14"/>
  <c r="Q12" i="14"/>
  <c r="T8" i="14"/>
  <c r="T7" i="14"/>
  <c r="T6" i="14"/>
  <c r="T5" i="14"/>
  <c r="S8" i="14"/>
  <c r="S7" i="14"/>
  <c r="S6" i="14"/>
  <c r="S5" i="14"/>
  <c r="R8" i="14"/>
  <c r="R7" i="14"/>
  <c r="R6" i="14"/>
  <c r="R5" i="14"/>
  <c r="Q8" i="14"/>
  <c r="Q7" i="14"/>
  <c r="Q6" i="14"/>
  <c r="Q5" i="14"/>
  <c r="J104" i="14"/>
  <c r="I104" i="14"/>
  <c r="F104" i="14"/>
  <c r="C104" i="14"/>
  <c r="B104" i="14"/>
  <c r="A104" i="14"/>
  <c r="J103" i="14"/>
  <c r="I103" i="14"/>
  <c r="F103" i="14"/>
  <c r="C103" i="14"/>
  <c r="B103" i="14"/>
  <c r="A103" i="14"/>
  <c r="J102" i="14"/>
  <c r="I102" i="14"/>
  <c r="F102" i="14"/>
  <c r="C102" i="14"/>
  <c r="B102" i="14"/>
  <c r="A102" i="14"/>
  <c r="J101" i="14"/>
  <c r="I101" i="14"/>
  <c r="F101" i="14"/>
  <c r="C101" i="14"/>
  <c r="B101" i="14"/>
  <c r="A101" i="14"/>
  <c r="J100" i="14"/>
  <c r="I100" i="14"/>
  <c r="F100" i="14"/>
  <c r="C100" i="14"/>
  <c r="B100" i="14"/>
  <c r="A100" i="14"/>
  <c r="J99" i="14"/>
  <c r="I99" i="14"/>
  <c r="F99" i="14"/>
  <c r="C99" i="14"/>
  <c r="B99" i="14"/>
  <c r="A99" i="14"/>
  <c r="J98" i="14"/>
  <c r="I98" i="14"/>
  <c r="F98" i="14"/>
  <c r="C98" i="14"/>
  <c r="B98" i="14"/>
  <c r="A98" i="14"/>
  <c r="J97" i="14"/>
  <c r="I97" i="14"/>
  <c r="F97" i="14"/>
  <c r="C97" i="14"/>
  <c r="B97" i="14"/>
  <c r="A97" i="14"/>
  <c r="J96" i="14"/>
  <c r="I96" i="14"/>
  <c r="F96" i="14"/>
  <c r="C96" i="14"/>
  <c r="B96" i="14"/>
  <c r="A96" i="14"/>
  <c r="J95" i="14"/>
  <c r="I95" i="14"/>
  <c r="F95" i="14"/>
  <c r="C95" i="14"/>
  <c r="B95" i="14"/>
  <c r="A95" i="14"/>
  <c r="J94" i="14"/>
  <c r="I94" i="14"/>
  <c r="F94" i="14"/>
  <c r="C94" i="14"/>
  <c r="B94" i="14"/>
  <c r="A94" i="14"/>
  <c r="J93" i="14"/>
  <c r="I93" i="14"/>
  <c r="F93" i="14"/>
  <c r="C93" i="14"/>
  <c r="B93" i="14"/>
  <c r="A93" i="14"/>
  <c r="J92" i="14"/>
  <c r="I92" i="14"/>
  <c r="F92" i="14"/>
  <c r="C92" i="14"/>
  <c r="B92" i="14"/>
  <c r="A92" i="14"/>
  <c r="J91" i="14"/>
  <c r="I91" i="14"/>
  <c r="F91" i="14"/>
  <c r="C91" i="14"/>
  <c r="B91" i="14"/>
  <c r="A91" i="14"/>
  <c r="J90" i="14"/>
  <c r="I90" i="14"/>
  <c r="F90" i="14"/>
  <c r="C90" i="14"/>
  <c r="B90" i="14"/>
  <c r="A90" i="14"/>
  <c r="J89" i="14"/>
  <c r="I89" i="14"/>
  <c r="F89" i="14"/>
  <c r="C89" i="14"/>
  <c r="B89" i="14"/>
  <c r="A89" i="14"/>
  <c r="J88" i="14"/>
  <c r="I88" i="14"/>
  <c r="F88" i="14"/>
  <c r="C88" i="14"/>
  <c r="B88" i="14"/>
  <c r="A88" i="14"/>
  <c r="J87" i="14"/>
  <c r="I87" i="14"/>
  <c r="F87" i="14"/>
  <c r="C87" i="14"/>
  <c r="B87" i="14"/>
  <c r="A87" i="14"/>
  <c r="J86" i="14"/>
  <c r="I86" i="14"/>
  <c r="F86" i="14"/>
  <c r="C86" i="14"/>
  <c r="B86" i="14"/>
  <c r="A86" i="14"/>
  <c r="J85" i="14"/>
  <c r="I85" i="14"/>
  <c r="F85" i="14"/>
  <c r="C85" i="14"/>
  <c r="B85" i="14"/>
  <c r="A85" i="14"/>
  <c r="J84" i="14"/>
  <c r="I84" i="14"/>
  <c r="F84" i="14"/>
  <c r="C84" i="14"/>
  <c r="B84" i="14"/>
  <c r="A84" i="14"/>
  <c r="J83" i="14"/>
  <c r="I83" i="14"/>
  <c r="F83" i="14"/>
  <c r="C83" i="14"/>
  <c r="B83" i="14"/>
  <c r="A83" i="14"/>
  <c r="J82" i="14"/>
  <c r="I82" i="14"/>
  <c r="F82" i="14"/>
  <c r="C82" i="14"/>
  <c r="B82" i="14"/>
  <c r="A82" i="14"/>
  <c r="J81" i="14"/>
  <c r="I81" i="14"/>
  <c r="F81" i="14"/>
  <c r="C81" i="14"/>
  <c r="B81" i="14"/>
  <c r="A81" i="14"/>
  <c r="J80" i="14"/>
  <c r="I80" i="14"/>
  <c r="F80" i="14"/>
  <c r="C80" i="14"/>
  <c r="B80" i="14"/>
  <c r="A80" i="14"/>
  <c r="J79" i="14"/>
  <c r="I79" i="14"/>
  <c r="F79" i="14"/>
  <c r="C79" i="14"/>
  <c r="B79" i="14"/>
  <c r="A79" i="14"/>
  <c r="J78" i="14"/>
  <c r="I78" i="14"/>
  <c r="F78" i="14"/>
  <c r="C78" i="14"/>
  <c r="B78" i="14"/>
  <c r="A78" i="14"/>
  <c r="J77" i="14"/>
  <c r="I77" i="14"/>
  <c r="F77" i="14"/>
  <c r="C77" i="14"/>
  <c r="B77" i="14"/>
  <c r="A77" i="14"/>
  <c r="J76" i="14"/>
  <c r="I76" i="14"/>
  <c r="F76" i="14"/>
  <c r="C76" i="14"/>
  <c r="B76" i="14"/>
  <c r="A76" i="14"/>
  <c r="J75" i="14"/>
  <c r="I75" i="14"/>
  <c r="F75" i="14"/>
  <c r="C75" i="14"/>
  <c r="B75" i="14"/>
  <c r="A75" i="14"/>
  <c r="J74" i="14"/>
  <c r="I74" i="14"/>
  <c r="F74" i="14"/>
  <c r="C74" i="14"/>
  <c r="B74" i="14"/>
  <c r="A74" i="14"/>
  <c r="J73" i="14"/>
  <c r="I73" i="14"/>
  <c r="F73" i="14"/>
  <c r="C73" i="14"/>
  <c r="B73" i="14"/>
  <c r="A73" i="14"/>
  <c r="J72" i="14"/>
  <c r="I72" i="14"/>
  <c r="F72" i="14"/>
  <c r="C72" i="14"/>
  <c r="B72" i="14"/>
  <c r="A72" i="14"/>
  <c r="J71" i="14"/>
  <c r="I71" i="14"/>
  <c r="F71" i="14"/>
  <c r="C71" i="14"/>
  <c r="B71" i="14"/>
  <c r="A71" i="14"/>
  <c r="J70" i="14"/>
  <c r="I70" i="14"/>
  <c r="F70" i="14"/>
  <c r="C70" i="14"/>
  <c r="B70" i="14"/>
  <c r="A70" i="14"/>
  <c r="J69" i="14"/>
  <c r="I69" i="14"/>
  <c r="F69" i="14"/>
  <c r="C69" i="14"/>
  <c r="B69" i="14"/>
  <c r="A69" i="14"/>
  <c r="J68" i="14"/>
  <c r="I68" i="14"/>
  <c r="F68" i="14"/>
  <c r="C68" i="14"/>
  <c r="B68" i="14"/>
  <c r="A68" i="14"/>
  <c r="J67" i="14"/>
  <c r="I67" i="14"/>
  <c r="F67" i="14"/>
  <c r="C67" i="14"/>
  <c r="B67" i="14"/>
  <c r="A67" i="14"/>
  <c r="J66" i="14"/>
  <c r="I66" i="14"/>
  <c r="F66" i="14"/>
  <c r="C66" i="14"/>
  <c r="B66" i="14"/>
  <c r="A66" i="14"/>
  <c r="J65" i="14"/>
  <c r="I65" i="14"/>
  <c r="F65" i="14"/>
  <c r="C65" i="14"/>
  <c r="B65" i="14"/>
  <c r="A65" i="14"/>
  <c r="J64" i="14"/>
  <c r="I64" i="14"/>
  <c r="F64" i="14"/>
  <c r="C64" i="14"/>
  <c r="B64" i="14"/>
  <c r="A64" i="14"/>
  <c r="J63" i="14"/>
  <c r="I63" i="14"/>
  <c r="F63" i="14"/>
  <c r="C63" i="14"/>
  <c r="B63" i="14"/>
  <c r="A63" i="14"/>
  <c r="J62" i="14"/>
  <c r="I62" i="14"/>
  <c r="F62" i="14"/>
  <c r="C62" i="14"/>
  <c r="B62" i="14"/>
  <c r="A62" i="14"/>
  <c r="J61" i="14"/>
  <c r="I61" i="14"/>
  <c r="F61" i="14"/>
  <c r="C61" i="14"/>
  <c r="B61" i="14"/>
  <c r="A61" i="14"/>
  <c r="J60" i="14"/>
  <c r="I60" i="14"/>
  <c r="F60" i="14"/>
  <c r="C60" i="14"/>
  <c r="B60" i="14"/>
  <c r="A60" i="14"/>
  <c r="J59" i="14"/>
  <c r="I59" i="14"/>
  <c r="F59" i="14"/>
  <c r="C59" i="14"/>
  <c r="B59" i="14"/>
  <c r="A59" i="14"/>
  <c r="J58" i="14"/>
  <c r="I58" i="14"/>
  <c r="F58" i="14"/>
  <c r="C58" i="14"/>
  <c r="B58" i="14"/>
  <c r="A58" i="14"/>
  <c r="J57" i="14"/>
  <c r="I57" i="14"/>
  <c r="F57" i="14"/>
  <c r="C57" i="14"/>
  <c r="B57" i="14"/>
  <c r="A57" i="14"/>
  <c r="J56" i="14"/>
  <c r="I56" i="14"/>
  <c r="F56" i="14"/>
  <c r="C56" i="14"/>
  <c r="B56" i="14"/>
  <c r="A56" i="14"/>
  <c r="J55" i="14"/>
  <c r="I55" i="14"/>
  <c r="F55" i="14"/>
  <c r="C55" i="14"/>
  <c r="B55" i="14"/>
  <c r="A55" i="14"/>
  <c r="J54" i="14"/>
  <c r="I54" i="14"/>
  <c r="F54" i="14"/>
  <c r="C54" i="14"/>
  <c r="B54" i="14"/>
  <c r="A54" i="14"/>
  <c r="J53" i="14"/>
  <c r="I53" i="14"/>
  <c r="F53" i="14"/>
  <c r="C53" i="14"/>
  <c r="B53" i="14"/>
  <c r="A53" i="14"/>
  <c r="J52" i="14"/>
  <c r="I52" i="14"/>
  <c r="F52" i="14"/>
  <c r="C52" i="14"/>
  <c r="B52" i="14"/>
  <c r="A52" i="14"/>
  <c r="J51" i="14"/>
  <c r="I51" i="14"/>
  <c r="H51" i="14"/>
  <c r="F51" i="14"/>
  <c r="G51" i="14" s="1"/>
  <c r="L51" i="14" s="1"/>
  <c r="C51" i="14"/>
  <c r="B51" i="14"/>
  <c r="A51" i="14"/>
  <c r="J50" i="14"/>
  <c r="I50" i="14"/>
  <c r="F50" i="14"/>
  <c r="C50" i="14"/>
  <c r="B50" i="14"/>
  <c r="A50" i="14"/>
  <c r="J49" i="14"/>
  <c r="I49" i="14"/>
  <c r="F49" i="14"/>
  <c r="C49" i="14"/>
  <c r="B49" i="14"/>
  <c r="A49" i="14"/>
  <c r="J48" i="14"/>
  <c r="I48" i="14"/>
  <c r="F48" i="14"/>
  <c r="C48" i="14"/>
  <c r="B48" i="14"/>
  <c r="A48" i="14"/>
  <c r="J47" i="14"/>
  <c r="I47" i="14"/>
  <c r="F47" i="14"/>
  <c r="C47" i="14"/>
  <c r="B47" i="14"/>
  <c r="A47" i="14"/>
  <c r="J46" i="14"/>
  <c r="I46" i="14"/>
  <c r="F46" i="14"/>
  <c r="C46" i="14"/>
  <c r="B46" i="14"/>
  <c r="A46" i="14"/>
  <c r="J45" i="14"/>
  <c r="I45" i="14"/>
  <c r="F45" i="14"/>
  <c r="C45" i="14"/>
  <c r="B45" i="14"/>
  <c r="A45" i="14"/>
  <c r="J44" i="14"/>
  <c r="I44" i="14"/>
  <c r="F44" i="14"/>
  <c r="C44" i="14"/>
  <c r="B44" i="14"/>
  <c r="A44" i="14"/>
  <c r="J43" i="14"/>
  <c r="I43" i="14"/>
  <c r="F43" i="14"/>
  <c r="C43" i="14"/>
  <c r="B43" i="14"/>
  <c r="A43" i="14"/>
  <c r="J42" i="14"/>
  <c r="I42" i="14"/>
  <c r="F42" i="14"/>
  <c r="C42" i="14"/>
  <c r="B42" i="14"/>
  <c r="A42" i="14"/>
  <c r="J41" i="14"/>
  <c r="I41" i="14"/>
  <c r="F41" i="14"/>
  <c r="C41" i="14"/>
  <c r="B41" i="14"/>
  <c r="A41" i="14"/>
  <c r="J40" i="14"/>
  <c r="I40" i="14"/>
  <c r="F40" i="14"/>
  <c r="C40" i="14"/>
  <c r="B40" i="14"/>
  <c r="A40" i="14"/>
  <c r="J39" i="14"/>
  <c r="I39" i="14"/>
  <c r="F39" i="14"/>
  <c r="C39" i="14"/>
  <c r="B39" i="14"/>
  <c r="A39" i="14"/>
  <c r="J38" i="14"/>
  <c r="I38" i="14"/>
  <c r="F38" i="14"/>
  <c r="C38" i="14"/>
  <c r="B38" i="14"/>
  <c r="A38" i="14"/>
  <c r="J37" i="14"/>
  <c r="I37" i="14"/>
  <c r="F37" i="14"/>
  <c r="C37" i="14"/>
  <c r="B37" i="14"/>
  <c r="A37" i="14"/>
  <c r="J36" i="14"/>
  <c r="I36" i="14"/>
  <c r="F36" i="14"/>
  <c r="C36" i="14"/>
  <c r="B36" i="14"/>
  <c r="A36" i="14"/>
  <c r="J35" i="14"/>
  <c r="I35" i="14"/>
  <c r="F35" i="14"/>
  <c r="C35" i="14"/>
  <c r="B35" i="14"/>
  <c r="A35" i="14"/>
  <c r="J34" i="14"/>
  <c r="I34" i="14"/>
  <c r="F34" i="14"/>
  <c r="C34" i="14"/>
  <c r="B34" i="14"/>
  <c r="A34" i="14"/>
  <c r="J33" i="14"/>
  <c r="I33" i="14"/>
  <c r="F33" i="14"/>
  <c r="C33" i="14"/>
  <c r="B33" i="14"/>
  <c r="A33" i="14"/>
  <c r="J32" i="14"/>
  <c r="I32" i="14"/>
  <c r="F32" i="14"/>
  <c r="C32" i="14"/>
  <c r="B32" i="14"/>
  <c r="A32" i="14"/>
  <c r="J31" i="14"/>
  <c r="I31" i="14"/>
  <c r="F31" i="14"/>
  <c r="C31" i="14"/>
  <c r="B31" i="14"/>
  <c r="A31" i="14"/>
  <c r="J30" i="14"/>
  <c r="I30" i="14"/>
  <c r="F30" i="14"/>
  <c r="C30" i="14"/>
  <c r="B30" i="14"/>
  <c r="A30" i="14"/>
  <c r="J29" i="14"/>
  <c r="I29" i="14"/>
  <c r="F29" i="14"/>
  <c r="C29" i="14"/>
  <c r="B29" i="14"/>
  <c r="A29" i="14"/>
  <c r="J28" i="14"/>
  <c r="I28" i="14"/>
  <c r="F28" i="14"/>
  <c r="C28" i="14"/>
  <c r="B28" i="14"/>
  <c r="A28" i="14"/>
  <c r="J27" i="14"/>
  <c r="I27" i="14"/>
  <c r="F27" i="14"/>
  <c r="C27" i="14"/>
  <c r="B27" i="14"/>
  <c r="A27" i="14"/>
  <c r="J26" i="14"/>
  <c r="I26" i="14"/>
  <c r="F26" i="14"/>
  <c r="C26" i="14"/>
  <c r="B26" i="14"/>
  <c r="A26" i="14"/>
  <c r="J25" i="14"/>
  <c r="I25" i="14"/>
  <c r="F25" i="14"/>
  <c r="C25" i="14"/>
  <c r="B25" i="14"/>
  <c r="A25" i="14"/>
  <c r="J24" i="14"/>
  <c r="I24" i="14"/>
  <c r="F24" i="14"/>
  <c r="C24" i="14"/>
  <c r="B24" i="14"/>
  <c r="A24" i="14"/>
  <c r="J23" i="14"/>
  <c r="I23" i="14"/>
  <c r="F23" i="14"/>
  <c r="C23" i="14"/>
  <c r="B23" i="14"/>
  <c r="A23" i="14"/>
  <c r="J22" i="14"/>
  <c r="I22" i="14"/>
  <c r="F22" i="14"/>
  <c r="C22" i="14"/>
  <c r="B22" i="14"/>
  <c r="A22" i="14"/>
  <c r="J21" i="14"/>
  <c r="I21" i="14"/>
  <c r="F21" i="14"/>
  <c r="C21" i="14"/>
  <c r="B21" i="14"/>
  <c r="A21" i="14"/>
  <c r="J20" i="14"/>
  <c r="I20" i="14"/>
  <c r="F20" i="14"/>
  <c r="C20" i="14"/>
  <c r="B20" i="14"/>
  <c r="A20" i="14"/>
  <c r="J19" i="14"/>
  <c r="I19" i="14"/>
  <c r="H19" i="14"/>
  <c r="G19" i="14"/>
  <c r="L19" i="14" s="1"/>
  <c r="F19" i="14"/>
  <c r="C19" i="14"/>
  <c r="B19" i="14"/>
  <c r="A19" i="14"/>
  <c r="J18" i="14"/>
  <c r="I18" i="14"/>
  <c r="F18" i="14"/>
  <c r="C18" i="14"/>
  <c r="B18" i="14"/>
  <c r="A18" i="14"/>
  <c r="J17" i="14"/>
  <c r="I17" i="14"/>
  <c r="F17" i="14"/>
  <c r="C17" i="14"/>
  <c r="B17" i="14"/>
  <c r="A17" i="14"/>
  <c r="J16" i="14"/>
  <c r="I16" i="14"/>
  <c r="F16" i="14"/>
  <c r="C16" i="14"/>
  <c r="B16" i="14"/>
  <c r="A16" i="14"/>
  <c r="J15" i="14"/>
  <c r="I15" i="14"/>
  <c r="F15" i="14"/>
  <c r="C15" i="14"/>
  <c r="B15" i="14"/>
  <c r="A15" i="14"/>
  <c r="J14" i="14"/>
  <c r="I14" i="14"/>
  <c r="F14" i="14"/>
  <c r="C14" i="14"/>
  <c r="B14" i="14"/>
  <c r="A14" i="14"/>
  <c r="J13" i="14"/>
  <c r="I13" i="14"/>
  <c r="F13" i="14"/>
  <c r="C13" i="14"/>
  <c r="B13" i="14"/>
  <c r="A13" i="14"/>
  <c r="J12" i="14"/>
  <c r="I12" i="14"/>
  <c r="F12" i="14"/>
  <c r="C12" i="14"/>
  <c r="B12" i="14"/>
  <c r="A12" i="14"/>
  <c r="J11" i="14"/>
  <c r="I11" i="14"/>
  <c r="F11" i="14"/>
  <c r="C11" i="14"/>
  <c r="B11" i="14"/>
  <c r="A11" i="14"/>
  <c r="J10" i="14"/>
  <c r="I10" i="14"/>
  <c r="F10" i="14"/>
  <c r="C10" i="14"/>
  <c r="B10" i="14"/>
  <c r="A10" i="14"/>
  <c r="J9" i="14"/>
  <c r="I9" i="14"/>
  <c r="F9" i="14"/>
  <c r="C9" i="14"/>
  <c r="B9" i="14"/>
  <c r="A9" i="14"/>
  <c r="J8" i="14"/>
  <c r="I8" i="14"/>
  <c r="F8" i="14"/>
  <c r="C8" i="14"/>
  <c r="B8" i="14"/>
  <c r="A8" i="14"/>
  <c r="J7" i="14"/>
  <c r="I7" i="14"/>
  <c r="F7" i="14"/>
  <c r="C7" i="14"/>
  <c r="B7" i="14"/>
  <c r="A7" i="14"/>
  <c r="J6" i="14"/>
  <c r="I6" i="14"/>
  <c r="F6" i="14"/>
  <c r="C6" i="14"/>
  <c r="B6" i="14"/>
  <c r="A6" i="14"/>
  <c r="L5" i="14"/>
  <c r="M5" i="14" s="1"/>
  <c r="K5" i="14"/>
  <c r="J5" i="14"/>
  <c r="I5" i="14"/>
  <c r="H5" i="14"/>
  <c r="G5" i="14"/>
  <c r="F5" i="14"/>
  <c r="E5" i="14"/>
  <c r="D5" i="14"/>
  <c r="C5" i="14"/>
  <c r="B5" i="14"/>
  <c r="A5" i="14"/>
  <c r="I4" i="5"/>
  <c r="I5" i="5"/>
  <c r="K9" i="3"/>
  <c r="K8" i="3"/>
  <c r="K7" i="3"/>
  <c r="K6" i="3"/>
  <c r="K5" i="3"/>
  <c r="H9" i="3"/>
  <c r="H7" i="3"/>
  <c r="H6" i="3"/>
  <c r="H5" i="3"/>
  <c r="H12" i="3"/>
  <c r="H8" i="3"/>
  <c r="I72" i="15" l="1"/>
  <c r="H72" i="15"/>
  <c r="H70" i="15"/>
  <c r="I70" i="15"/>
  <c r="I69" i="15"/>
  <c r="H69" i="15"/>
  <c r="I68" i="15"/>
  <c r="H68" i="15"/>
  <c r="I67" i="15"/>
  <c r="H67" i="15"/>
  <c r="H66" i="15"/>
  <c r="I66" i="15"/>
  <c r="H65" i="15"/>
  <c r="I65" i="15"/>
  <c r="Q74" i="14"/>
  <c r="R74" i="14"/>
  <c r="S74" i="14"/>
  <c r="T74" i="14"/>
  <c r="T73" i="14"/>
  <c r="Q73" i="14"/>
  <c r="R73" i="14"/>
  <c r="S73" i="14"/>
  <c r="T72" i="14"/>
  <c r="Q72" i="14"/>
  <c r="R72" i="14"/>
  <c r="S72" i="14"/>
  <c r="T71" i="14"/>
  <c r="R71" i="14"/>
  <c r="Q71" i="14"/>
  <c r="S71" i="14"/>
  <c r="Q70" i="14"/>
  <c r="R70" i="14"/>
  <c r="T70" i="14"/>
  <c r="S70" i="14"/>
  <c r="Q69" i="14"/>
  <c r="T69" i="14"/>
  <c r="S69" i="14"/>
  <c r="R69" i="14"/>
  <c r="T68" i="14"/>
  <c r="S68" i="14"/>
  <c r="R68" i="14"/>
  <c r="Q68" i="14"/>
  <c r="T67" i="14"/>
  <c r="S67" i="14"/>
  <c r="Q67" i="14"/>
  <c r="R67" i="14"/>
  <c r="R66" i="14"/>
  <c r="S66" i="14"/>
  <c r="T66" i="14"/>
  <c r="Q66" i="14"/>
  <c r="Q65" i="14"/>
  <c r="R65" i="14"/>
  <c r="S65" i="14"/>
  <c r="T65" i="14"/>
  <c r="T64" i="14"/>
  <c r="S64" i="14"/>
  <c r="R64" i="14"/>
  <c r="Q64" i="14"/>
  <c r="Q63" i="14"/>
  <c r="S63" i="14"/>
  <c r="T63" i="14"/>
  <c r="R63" i="14"/>
  <c r="T62" i="14"/>
  <c r="Q62" i="14"/>
  <c r="R62" i="14"/>
  <c r="S62" i="14"/>
  <c r="T61" i="14"/>
  <c r="Q61" i="14"/>
  <c r="R61" i="14"/>
  <c r="S61" i="14"/>
  <c r="T60" i="14"/>
  <c r="S60" i="14"/>
  <c r="R60" i="14"/>
  <c r="Q60" i="14"/>
  <c r="T59" i="14"/>
  <c r="S59" i="14"/>
  <c r="R59" i="14"/>
  <c r="Q59" i="14"/>
  <c r="Q58" i="14"/>
  <c r="R58" i="14"/>
  <c r="S58" i="14"/>
  <c r="T58" i="14"/>
  <c r="S32" i="14"/>
  <c r="T32" i="14"/>
  <c r="T51" i="14"/>
  <c r="S51" i="14"/>
  <c r="T50" i="14"/>
  <c r="S50" i="14"/>
  <c r="S49" i="14"/>
  <c r="T49" i="14"/>
  <c r="S48" i="14"/>
  <c r="T48" i="14"/>
  <c r="S47" i="14"/>
  <c r="T47" i="14"/>
  <c r="T46" i="14"/>
  <c r="S46" i="14"/>
  <c r="T45" i="14"/>
  <c r="S45" i="14"/>
  <c r="T44" i="14"/>
  <c r="S44" i="14"/>
  <c r="T43" i="14"/>
  <c r="S43" i="14"/>
  <c r="S42" i="14"/>
  <c r="T42" i="14"/>
  <c r="S41" i="14"/>
  <c r="T41" i="14"/>
  <c r="T40" i="14"/>
  <c r="S40" i="14"/>
  <c r="S39" i="14"/>
  <c r="T39" i="14"/>
  <c r="T38" i="14"/>
  <c r="S38" i="14"/>
  <c r="T37" i="14"/>
  <c r="S37" i="14"/>
  <c r="S36" i="14"/>
  <c r="T36" i="14"/>
  <c r="S35" i="14"/>
  <c r="T35" i="14"/>
  <c r="T34" i="14"/>
  <c r="S34" i="14"/>
  <c r="R43" i="14"/>
  <c r="R36" i="14"/>
  <c r="R39" i="14"/>
  <c r="R34" i="14"/>
  <c r="R44" i="14"/>
  <c r="R49" i="14"/>
  <c r="R45" i="14"/>
  <c r="R46" i="14"/>
  <c r="R35" i="14"/>
  <c r="R47" i="14"/>
  <c r="R37" i="14"/>
  <c r="R41" i="14"/>
  <c r="R50" i="14"/>
  <c r="R48" i="14"/>
  <c r="R40" i="14"/>
  <c r="R51" i="14"/>
  <c r="R42" i="14"/>
  <c r="R38" i="14"/>
  <c r="R33" i="14"/>
  <c r="T33" i="14"/>
  <c r="S33" i="14"/>
  <c r="AA28" i="14"/>
  <c r="Z28" i="14"/>
  <c r="Y28" i="14"/>
  <c r="X28" i="14"/>
  <c r="V28" i="14"/>
  <c r="U28" i="14"/>
  <c r="W28" i="14" s="1"/>
  <c r="T28" i="14"/>
  <c r="S28" i="14"/>
  <c r="R28" i="14"/>
  <c r="Q28" i="14"/>
  <c r="Y27" i="14"/>
  <c r="Z27" i="14"/>
  <c r="U27" i="14"/>
  <c r="R27" i="14"/>
  <c r="Q27" i="14"/>
  <c r="S27" i="14"/>
  <c r="T27" i="14"/>
  <c r="V27" i="14"/>
  <c r="AA27" i="14"/>
  <c r="X27" i="14"/>
  <c r="R26" i="14"/>
  <c r="Q26" i="14"/>
  <c r="AA26" i="14"/>
  <c r="Z26" i="14"/>
  <c r="Y26" i="14"/>
  <c r="X26" i="14"/>
  <c r="V26" i="14"/>
  <c r="U26" i="14"/>
  <c r="W26" i="14" s="1"/>
  <c r="T26" i="14"/>
  <c r="S26" i="14"/>
  <c r="AA25" i="14"/>
  <c r="Z25" i="14"/>
  <c r="Y25" i="14"/>
  <c r="X25" i="14"/>
  <c r="V25" i="14"/>
  <c r="U25" i="14"/>
  <c r="W25" i="14" s="1"/>
  <c r="T25" i="14"/>
  <c r="S25" i="14"/>
  <c r="R25" i="14"/>
  <c r="Q25" i="14"/>
  <c r="AA24" i="14"/>
  <c r="Z24" i="14"/>
  <c r="T24" i="14"/>
  <c r="Q24" i="14"/>
  <c r="R24" i="14"/>
  <c r="Y24" i="14"/>
  <c r="S24" i="14"/>
  <c r="U24" i="14"/>
  <c r="W24" i="14" s="1"/>
  <c r="V24" i="14"/>
  <c r="X24" i="14"/>
  <c r="AA23" i="14"/>
  <c r="Z23" i="14"/>
  <c r="Y23" i="14"/>
  <c r="X23" i="14"/>
  <c r="V23" i="14"/>
  <c r="U23" i="14"/>
  <c r="W23" i="14" s="1"/>
  <c r="T23" i="14"/>
  <c r="S23" i="14"/>
  <c r="R23" i="14"/>
  <c r="Q23" i="14"/>
  <c r="T22" i="14"/>
  <c r="S22" i="14"/>
  <c r="R22" i="14"/>
  <c r="Q22" i="14"/>
  <c r="Z22" i="14"/>
  <c r="Y22" i="14"/>
  <c r="U22" i="14"/>
  <c r="W22" i="14" s="1"/>
  <c r="X22" i="14"/>
  <c r="V22" i="14"/>
  <c r="AA22" i="14"/>
  <c r="Z21" i="14"/>
  <c r="X21" i="14"/>
  <c r="U21" i="14"/>
  <c r="W21" i="14" s="1"/>
  <c r="S21" i="14"/>
  <c r="AA21" i="14"/>
  <c r="Y21" i="14"/>
  <c r="V21" i="14"/>
  <c r="T21" i="14"/>
  <c r="R21" i="14"/>
  <c r="Q21" i="14"/>
  <c r="H104" i="14"/>
  <c r="G104" i="14"/>
  <c r="L104" i="14" s="1"/>
  <c r="E104" i="14"/>
  <c r="M104" i="14" s="1"/>
  <c r="D104" i="14"/>
  <c r="K104" i="14" s="1"/>
  <c r="G103" i="14"/>
  <c r="L103" i="14" s="1"/>
  <c r="H103" i="14"/>
  <c r="D103" i="14"/>
  <c r="K103" i="14" s="1"/>
  <c r="E103" i="14"/>
  <c r="M103" i="14" s="1"/>
  <c r="H102" i="14"/>
  <c r="G102" i="14"/>
  <c r="L102" i="14" s="1"/>
  <c r="E102" i="14"/>
  <c r="M102" i="14" s="1"/>
  <c r="D102" i="14"/>
  <c r="K102" i="14" s="1"/>
  <c r="H101" i="14"/>
  <c r="G101" i="14"/>
  <c r="L101" i="14" s="1"/>
  <c r="D101" i="14"/>
  <c r="K101" i="14" s="1"/>
  <c r="E101" i="14"/>
  <c r="M101" i="14" s="1"/>
  <c r="H100" i="14"/>
  <c r="G100" i="14"/>
  <c r="L100" i="14" s="1"/>
  <c r="D100" i="14"/>
  <c r="K100" i="14" s="1"/>
  <c r="E100" i="14"/>
  <c r="M100" i="14" s="1"/>
  <c r="G99" i="14"/>
  <c r="L99" i="14" s="1"/>
  <c r="H99" i="14"/>
  <c r="E99" i="14"/>
  <c r="M99" i="14" s="1"/>
  <c r="D99" i="14"/>
  <c r="K99" i="14" s="1"/>
  <c r="G98" i="14"/>
  <c r="L98" i="14" s="1"/>
  <c r="H98" i="14"/>
  <c r="D98" i="14"/>
  <c r="E98" i="14"/>
  <c r="H97" i="14"/>
  <c r="G97" i="14"/>
  <c r="L97" i="14" s="1"/>
  <c r="E97" i="14"/>
  <c r="M97" i="14" s="1"/>
  <c r="D97" i="14"/>
  <c r="K97" i="14" s="1"/>
  <c r="H96" i="14"/>
  <c r="G96" i="14"/>
  <c r="L96" i="14" s="1"/>
  <c r="D96" i="14"/>
  <c r="K96" i="14" s="1"/>
  <c r="E96" i="14"/>
  <c r="M96" i="14" s="1"/>
  <c r="H95" i="14"/>
  <c r="G95" i="14"/>
  <c r="L95" i="14" s="1"/>
  <c r="E95" i="14"/>
  <c r="M95" i="14" s="1"/>
  <c r="D95" i="14"/>
  <c r="K95" i="14" s="1"/>
  <c r="G94" i="14"/>
  <c r="L94" i="14" s="1"/>
  <c r="H94" i="14"/>
  <c r="E94" i="14"/>
  <c r="M94" i="14" s="1"/>
  <c r="D94" i="14"/>
  <c r="K94" i="14" s="1"/>
  <c r="G93" i="14"/>
  <c r="L93" i="14" s="1"/>
  <c r="H93" i="14"/>
  <c r="D93" i="14"/>
  <c r="K93" i="14" s="1"/>
  <c r="E93" i="14"/>
  <c r="M93" i="14" s="1"/>
  <c r="H92" i="14"/>
  <c r="G92" i="14"/>
  <c r="L92" i="14" s="1"/>
  <c r="E92" i="14"/>
  <c r="M92" i="14" s="1"/>
  <c r="D92" i="14"/>
  <c r="K92" i="14" s="1"/>
  <c r="H91" i="14"/>
  <c r="G91" i="14"/>
  <c r="L91" i="14" s="1"/>
  <c r="E91" i="14"/>
  <c r="M91" i="14" s="1"/>
  <c r="D91" i="14"/>
  <c r="K91" i="14" s="1"/>
  <c r="G90" i="14"/>
  <c r="L90" i="14" s="1"/>
  <c r="H90" i="14"/>
  <c r="D90" i="14"/>
  <c r="K90" i="14" s="1"/>
  <c r="E90" i="14"/>
  <c r="M90" i="14" s="1"/>
  <c r="H89" i="14"/>
  <c r="G89" i="14"/>
  <c r="L89" i="14" s="1"/>
  <c r="D89" i="14"/>
  <c r="K89" i="14" s="1"/>
  <c r="E89" i="14"/>
  <c r="M89" i="14" s="1"/>
  <c r="G88" i="14"/>
  <c r="L88" i="14" s="1"/>
  <c r="H88" i="14"/>
  <c r="D88" i="14"/>
  <c r="K88" i="14" s="1"/>
  <c r="E88" i="14"/>
  <c r="M88" i="14" s="1"/>
  <c r="H87" i="14"/>
  <c r="G87" i="14"/>
  <c r="L87" i="14" s="1"/>
  <c r="D87" i="14"/>
  <c r="K87" i="14" s="1"/>
  <c r="E87" i="14"/>
  <c r="M87" i="14" s="1"/>
  <c r="G86" i="14"/>
  <c r="L86" i="14" s="1"/>
  <c r="H86" i="14"/>
  <c r="D86" i="14"/>
  <c r="K86" i="14" s="1"/>
  <c r="E86" i="14"/>
  <c r="M86" i="14" s="1"/>
  <c r="H85" i="14"/>
  <c r="G85" i="14"/>
  <c r="L85" i="14" s="1"/>
  <c r="E85" i="14"/>
  <c r="M85" i="14" s="1"/>
  <c r="D85" i="14"/>
  <c r="K85" i="14" s="1"/>
  <c r="G84" i="14"/>
  <c r="L84" i="14" s="1"/>
  <c r="H84" i="14"/>
  <c r="E84" i="14"/>
  <c r="M84" i="14" s="1"/>
  <c r="D84" i="14"/>
  <c r="K84" i="14" s="1"/>
  <c r="H83" i="14"/>
  <c r="G83" i="14"/>
  <c r="L83" i="14" s="1"/>
  <c r="E83" i="14"/>
  <c r="M83" i="14" s="1"/>
  <c r="D83" i="14"/>
  <c r="K83" i="14" s="1"/>
  <c r="H82" i="14"/>
  <c r="G82" i="14"/>
  <c r="L82" i="14" s="1"/>
  <c r="E82" i="14"/>
  <c r="M82" i="14" s="1"/>
  <c r="D82" i="14"/>
  <c r="K82" i="14" s="1"/>
  <c r="H81" i="14"/>
  <c r="G81" i="14"/>
  <c r="L81" i="14" s="1"/>
  <c r="E81" i="14"/>
  <c r="M81" i="14" s="1"/>
  <c r="D81" i="14"/>
  <c r="K81" i="14" s="1"/>
  <c r="G80" i="14"/>
  <c r="L80" i="14" s="1"/>
  <c r="H80" i="14"/>
  <c r="D80" i="14"/>
  <c r="K80" i="14" s="1"/>
  <c r="E80" i="14"/>
  <c r="M80" i="14" s="1"/>
  <c r="G79" i="14"/>
  <c r="L79" i="14" s="1"/>
  <c r="H79" i="14"/>
  <c r="D79" i="14"/>
  <c r="K79" i="14" s="1"/>
  <c r="E79" i="14"/>
  <c r="M79" i="14" s="1"/>
  <c r="G78" i="14"/>
  <c r="L78" i="14" s="1"/>
  <c r="H78" i="14"/>
  <c r="E78" i="14"/>
  <c r="M78" i="14" s="1"/>
  <c r="D78" i="14"/>
  <c r="K78" i="14" s="1"/>
  <c r="H77" i="14"/>
  <c r="G77" i="14"/>
  <c r="L77" i="14" s="1"/>
  <c r="E77" i="14"/>
  <c r="M77" i="14" s="1"/>
  <c r="D77" i="14"/>
  <c r="K77" i="14" s="1"/>
  <c r="H76" i="14"/>
  <c r="G76" i="14"/>
  <c r="L76" i="14" s="1"/>
  <c r="D76" i="14"/>
  <c r="K76" i="14" s="1"/>
  <c r="E76" i="14"/>
  <c r="M76" i="14" s="1"/>
  <c r="H75" i="14"/>
  <c r="G75" i="14"/>
  <c r="L75" i="14" s="1"/>
  <c r="E75" i="14"/>
  <c r="M75" i="14" s="1"/>
  <c r="D75" i="14"/>
  <c r="K75" i="14" s="1"/>
  <c r="H74" i="14"/>
  <c r="G74" i="14"/>
  <c r="L74" i="14" s="1"/>
  <c r="D74" i="14"/>
  <c r="K74" i="14" s="1"/>
  <c r="E74" i="14"/>
  <c r="M74" i="14" s="1"/>
  <c r="G73" i="14"/>
  <c r="L73" i="14" s="1"/>
  <c r="H73" i="14"/>
  <c r="E73" i="14"/>
  <c r="M73" i="14" s="1"/>
  <c r="D73" i="14"/>
  <c r="K73" i="14" s="1"/>
  <c r="G72" i="14"/>
  <c r="L72" i="14" s="1"/>
  <c r="H72" i="14"/>
  <c r="E72" i="14"/>
  <c r="M72" i="14" s="1"/>
  <c r="D72" i="14"/>
  <c r="K72" i="14" s="1"/>
  <c r="H71" i="14"/>
  <c r="G71" i="14"/>
  <c r="L71" i="14" s="1"/>
  <c r="E71" i="14"/>
  <c r="M71" i="14" s="1"/>
  <c r="D71" i="14"/>
  <c r="K71" i="14" s="1"/>
  <c r="G70" i="14"/>
  <c r="L70" i="14" s="1"/>
  <c r="H70" i="14"/>
  <c r="E70" i="14"/>
  <c r="M70" i="14" s="1"/>
  <c r="D70" i="14"/>
  <c r="K70" i="14" s="1"/>
  <c r="H69" i="14"/>
  <c r="G69" i="14"/>
  <c r="L69" i="14" s="1"/>
  <c r="D69" i="14"/>
  <c r="K69" i="14" s="1"/>
  <c r="E69" i="14"/>
  <c r="M69" i="14" s="1"/>
  <c r="H68" i="14"/>
  <c r="G68" i="14"/>
  <c r="L68" i="14" s="1"/>
  <c r="E68" i="14"/>
  <c r="M68" i="14" s="1"/>
  <c r="D68" i="14"/>
  <c r="K68" i="14" s="1"/>
  <c r="H67" i="14"/>
  <c r="G67" i="14"/>
  <c r="L67" i="14" s="1"/>
  <c r="E67" i="14"/>
  <c r="M67" i="14" s="1"/>
  <c r="D67" i="14"/>
  <c r="K67" i="14" s="1"/>
  <c r="H66" i="14"/>
  <c r="G66" i="14"/>
  <c r="L66" i="14" s="1"/>
  <c r="E66" i="14"/>
  <c r="M66" i="14" s="1"/>
  <c r="D66" i="14"/>
  <c r="H65" i="14"/>
  <c r="G65" i="14"/>
  <c r="L65" i="14" s="1"/>
  <c r="E65" i="14"/>
  <c r="M65" i="14" s="1"/>
  <c r="D65" i="14"/>
  <c r="K65" i="14" s="1"/>
  <c r="H64" i="14"/>
  <c r="G64" i="14"/>
  <c r="L64" i="14" s="1"/>
  <c r="E64" i="14"/>
  <c r="M64" i="14" s="1"/>
  <c r="D64" i="14"/>
  <c r="K64" i="14" s="1"/>
  <c r="H63" i="14"/>
  <c r="G63" i="14"/>
  <c r="L63" i="14" s="1"/>
  <c r="E63" i="14"/>
  <c r="M63" i="14" s="1"/>
  <c r="D63" i="14"/>
  <c r="K63" i="14" s="1"/>
  <c r="H62" i="14"/>
  <c r="G62" i="14"/>
  <c r="L62" i="14" s="1"/>
  <c r="D62" i="14"/>
  <c r="K62" i="14" s="1"/>
  <c r="E62" i="14"/>
  <c r="M62" i="14" s="1"/>
  <c r="H61" i="14"/>
  <c r="G61" i="14"/>
  <c r="L61" i="14" s="1"/>
  <c r="D61" i="14"/>
  <c r="K61" i="14" s="1"/>
  <c r="E61" i="14"/>
  <c r="M61" i="14" s="1"/>
  <c r="H60" i="14"/>
  <c r="G60" i="14"/>
  <c r="L60" i="14" s="1"/>
  <c r="E60" i="14"/>
  <c r="M60" i="14" s="1"/>
  <c r="D60" i="14"/>
  <c r="K60" i="14" s="1"/>
  <c r="G59" i="14"/>
  <c r="L59" i="14" s="1"/>
  <c r="H59" i="14"/>
  <c r="E59" i="14"/>
  <c r="M59" i="14" s="1"/>
  <c r="D59" i="14"/>
  <c r="K59" i="14" s="1"/>
  <c r="H58" i="14"/>
  <c r="G58" i="14"/>
  <c r="L58" i="14" s="1"/>
  <c r="D58" i="14"/>
  <c r="K58" i="14" s="1"/>
  <c r="E58" i="14"/>
  <c r="M58" i="14" s="1"/>
  <c r="H57" i="14"/>
  <c r="G57" i="14"/>
  <c r="L57" i="14" s="1"/>
  <c r="E57" i="14"/>
  <c r="M57" i="14" s="1"/>
  <c r="D57" i="14"/>
  <c r="K57" i="14" s="1"/>
  <c r="G56" i="14"/>
  <c r="L56" i="14" s="1"/>
  <c r="H56" i="14"/>
  <c r="E56" i="14"/>
  <c r="M56" i="14" s="1"/>
  <c r="D56" i="14"/>
  <c r="K56" i="14" s="1"/>
  <c r="G55" i="14"/>
  <c r="L55" i="14" s="1"/>
  <c r="H55" i="14"/>
  <c r="D55" i="14"/>
  <c r="K55" i="14" s="1"/>
  <c r="E55" i="14"/>
  <c r="M55" i="14" s="1"/>
  <c r="G54" i="14"/>
  <c r="L54" i="14" s="1"/>
  <c r="H54" i="14"/>
  <c r="E54" i="14"/>
  <c r="M54" i="14" s="1"/>
  <c r="D54" i="14"/>
  <c r="K54" i="14" s="1"/>
  <c r="G53" i="14"/>
  <c r="L53" i="14" s="1"/>
  <c r="H53" i="14"/>
  <c r="D53" i="14"/>
  <c r="K53" i="14" s="1"/>
  <c r="E53" i="14"/>
  <c r="H52" i="14"/>
  <c r="G52" i="14"/>
  <c r="L52" i="14" s="1"/>
  <c r="D52" i="14"/>
  <c r="K52" i="14" s="1"/>
  <c r="E52" i="14"/>
  <c r="M52" i="14" s="1"/>
  <c r="E51" i="14"/>
  <c r="M51" i="14" s="1"/>
  <c r="D51" i="14"/>
  <c r="K51" i="14" s="1"/>
  <c r="H50" i="14"/>
  <c r="G50" i="14"/>
  <c r="L50" i="14" s="1"/>
  <c r="E50" i="14"/>
  <c r="M50" i="14" s="1"/>
  <c r="D50" i="14"/>
  <c r="K50" i="14" s="1"/>
  <c r="H49" i="14"/>
  <c r="G49" i="14"/>
  <c r="L49" i="14" s="1"/>
  <c r="E49" i="14"/>
  <c r="M49" i="14" s="1"/>
  <c r="D49" i="14"/>
  <c r="K49" i="14" s="1"/>
  <c r="H48" i="14"/>
  <c r="G48" i="14"/>
  <c r="L48" i="14" s="1"/>
  <c r="D48" i="14"/>
  <c r="K48" i="14" s="1"/>
  <c r="E48" i="14"/>
  <c r="M48" i="14" s="1"/>
  <c r="G47" i="14"/>
  <c r="L47" i="14" s="1"/>
  <c r="H47" i="14"/>
  <c r="D47" i="14"/>
  <c r="K47" i="14" s="1"/>
  <c r="E47" i="14"/>
  <c r="M47" i="14" s="1"/>
  <c r="G46" i="14"/>
  <c r="L46" i="14" s="1"/>
  <c r="H46" i="14"/>
  <c r="D46" i="14"/>
  <c r="K46" i="14" s="1"/>
  <c r="E46" i="14"/>
  <c r="G45" i="14"/>
  <c r="L45" i="14" s="1"/>
  <c r="H45" i="14"/>
  <c r="E45" i="14"/>
  <c r="M45" i="14" s="1"/>
  <c r="D45" i="14"/>
  <c r="K45" i="14" s="1"/>
  <c r="G44" i="14"/>
  <c r="L44" i="14" s="1"/>
  <c r="H44" i="14"/>
  <c r="E44" i="14"/>
  <c r="M44" i="14" s="1"/>
  <c r="D44" i="14"/>
  <c r="K44" i="14" s="1"/>
  <c r="G43" i="14"/>
  <c r="L43" i="14" s="1"/>
  <c r="H43" i="14"/>
  <c r="E43" i="14"/>
  <c r="M43" i="14" s="1"/>
  <c r="D43" i="14"/>
  <c r="K43" i="14" s="1"/>
  <c r="H42" i="14"/>
  <c r="G42" i="14"/>
  <c r="L42" i="14" s="1"/>
  <c r="D42" i="14"/>
  <c r="K42" i="14" s="1"/>
  <c r="E42" i="14"/>
  <c r="M42" i="14" s="1"/>
  <c r="H41" i="14"/>
  <c r="G41" i="14"/>
  <c r="L41" i="14" s="1"/>
  <c r="D41" i="14"/>
  <c r="K41" i="14" s="1"/>
  <c r="E41" i="14"/>
  <c r="M41" i="14" s="1"/>
  <c r="H40" i="14"/>
  <c r="G40" i="14"/>
  <c r="L40" i="14" s="1"/>
  <c r="E40" i="14"/>
  <c r="M40" i="14" s="1"/>
  <c r="D40" i="14"/>
  <c r="K40" i="14" s="1"/>
  <c r="G39" i="14"/>
  <c r="L39" i="14" s="1"/>
  <c r="H39" i="14"/>
  <c r="D39" i="14"/>
  <c r="K39" i="14" s="1"/>
  <c r="E39" i="14"/>
  <c r="M39" i="14" s="1"/>
  <c r="G38" i="14"/>
  <c r="L38" i="14" s="1"/>
  <c r="H38" i="14"/>
  <c r="E38" i="14"/>
  <c r="M38" i="14" s="1"/>
  <c r="D38" i="14"/>
  <c r="K38" i="14" s="1"/>
  <c r="H37" i="14"/>
  <c r="G37" i="14"/>
  <c r="L37" i="14" s="1"/>
  <c r="D37" i="14"/>
  <c r="K37" i="14" s="1"/>
  <c r="E37" i="14"/>
  <c r="M37" i="14" s="1"/>
  <c r="G36" i="14"/>
  <c r="L36" i="14" s="1"/>
  <c r="H36" i="14"/>
  <c r="E36" i="14"/>
  <c r="M36" i="14" s="1"/>
  <c r="D36" i="14"/>
  <c r="K36" i="14" s="1"/>
  <c r="H35" i="14"/>
  <c r="G35" i="14"/>
  <c r="L35" i="14" s="1"/>
  <c r="E35" i="14"/>
  <c r="M35" i="14" s="1"/>
  <c r="D35" i="14"/>
  <c r="K35" i="14" s="1"/>
  <c r="G34" i="14"/>
  <c r="L34" i="14" s="1"/>
  <c r="H34" i="14"/>
  <c r="E34" i="14"/>
  <c r="M34" i="14" s="1"/>
  <c r="D34" i="14"/>
  <c r="K34" i="14" s="1"/>
  <c r="H33" i="14"/>
  <c r="G33" i="14"/>
  <c r="L33" i="14" s="1"/>
  <c r="D33" i="14"/>
  <c r="K33" i="14" s="1"/>
  <c r="E33" i="14"/>
  <c r="M33" i="14" s="1"/>
  <c r="H32" i="14"/>
  <c r="G32" i="14"/>
  <c r="L32" i="14" s="1"/>
  <c r="D32" i="14"/>
  <c r="K32" i="14" s="1"/>
  <c r="E32" i="14"/>
  <c r="M32" i="14" s="1"/>
  <c r="H31" i="14"/>
  <c r="G31" i="14"/>
  <c r="L31" i="14" s="1"/>
  <c r="E31" i="14"/>
  <c r="M31" i="14" s="1"/>
  <c r="D31" i="14"/>
  <c r="K31" i="14" s="1"/>
  <c r="H30" i="14"/>
  <c r="G30" i="14"/>
  <c r="L30" i="14" s="1"/>
  <c r="D30" i="14"/>
  <c r="K30" i="14" s="1"/>
  <c r="E30" i="14"/>
  <c r="M30" i="14" s="1"/>
  <c r="H29" i="14"/>
  <c r="G29" i="14"/>
  <c r="L29" i="14" s="1"/>
  <c r="E29" i="14"/>
  <c r="M29" i="14" s="1"/>
  <c r="D29" i="14"/>
  <c r="K29" i="14" s="1"/>
  <c r="G28" i="14"/>
  <c r="L28" i="14" s="1"/>
  <c r="H28" i="14"/>
  <c r="E28" i="14"/>
  <c r="M28" i="14" s="1"/>
  <c r="D28" i="14"/>
  <c r="K28" i="14" s="1"/>
  <c r="G27" i="14"/>
  <c r="L27" i="14" s="1"/>
  <c r="H27" i="14"/>
  <c r="E27" i="14"/>
  <c r="M27" i="14" s="1"/>
  <c r="D27" i="14"/>
  <c r="K27" i="14" s="1"/>
  <c r="H26" i="14"/>
  <c r="G26" i="14"/>
  <c r="L26" i="14" s="1"/>
  <c r="E26" i="14"/>
  <c r="M26" i="14" s="1"/>
  <c r="D26" i="14"/>
  <c r="K26" i="14" s="1"/>
  <c r="G25" i="14"/>
  <c r="L25" i="14" s="1"/>
  <c r="H25" i="14"/>
  <c r="E25" i="14"/>
  <c r="M25" i="14" s="1"/>
  <c r="D25" i="14"/>
  <c r="K25" i="14" s="1"/>
  <c r="H24" i="14"/>
  <c r="G24" i="14"/>
  <c r="L24" i="14" s="1"/>
  <c r="D24" i="14"/>
  <c r="K24" i="14" s="1"/>
  <c r="E24" i="14"/>
  <c r="M24" i="14" s="1"/>
  <c r="H23" i="14"/>
  <c r="G23" i="14"/>
  <c r="L23" i="14" s="1"/>
  <c r="D23" i="14"/>
  <c r="K23" i="14" s="1"/>
  <c r="E23" i="14"/>
  <c r="M23" i="14" s="1"/>
  <c r="H22" i="14"/>
  <c r="G22" i="14"/>
  <c r="L22" i="14" s="1"/>
  <c r="D22" i="14"/>
  <c r="K22" i="14" s="1"/>
  <c r="E22" i="14"/>
  <c r="M22" i="14" s="1"/>
  <c r="H21" i="14"/>
  <c r="G21" i="14"/>
  <c r="L21" i="14" s="1"/>
  <c r="E21" i="14"/>
  <c r="M21" i="14" s="1"/>
  <c r="D21" i="14"/>
  <c r="K21" i="14" s="1"/>
  <c r="H20" i="14"/>
  <c r="G20" i="14"/>
  <c r="L20" i="14" s="1"/>
  <c r="E20" i="14"/>
  <c r="M20" i="14" s="1"/>
  <c r="D20" i="14"/>
  <c r="E19" i="14"/>
  <c r="M19" i="14" s="1"/>
  <c r="D19" i="14"/>
  <c r="K19" i="14" s="1"/>
  <c r="G18" i="14"/>
  <c r="L18" i="14" s="1"/>
  <c r="H18" i="14"/>
  <c r="D18" i="14"/>
  <c r="K18" i="14" s="1"/>
  <c r="E18" i="14"/>
  <c r="M18" i="14" s="1"/>
  <c r="G17" i="14"/>
  <c r="L17" i="14" s="1"/>
  <c r="H17" i="14"/>
  <c r="D17" i="14"/>
  <c r="K17" i="14" s="1"/>
  <c r="E17" i="14"/>
  <c r="M17" i="14" s="1"/>
  <c r="H16" i="14"/>
  <c r="G16" i="14"/>
  <c r="L16" i="14" s="1"/>
  <c r="E16" i="14"/>
  <c r="M16" i="14" s="1"/>
  <c r="D16" i="14"/>
  <c r="K16" i="14" s="1"/>
  <c r="H15" i="14"/>
  <c r="G15" i="14"/>
  <c r="L15" i="14" s="1"/>
  <c r="E15" i="14"/>
  <c r="M15" i="14" s="1"/>
  <c r="D15" i="14"/>
  <c r="K15" i="14" s="1"/>
  <c r="H14" i="14"/>
  <c r="G14" i="14"/>
  <c r="L14" i="14" s="1"/>
  <c r="D14" i="14"/>
  <c r="K14" i="14" s="1"/>
  <c r="E14" i="14"/>
  <c r="M14" i="14" s="1"/>
  <c r="H13" i="14"/>
  <c r="G13" i="14"/>
  <c r="L13" i="14" s="1"/>
  <c r="D13" i="14"/>
  <c r="E13" i="14"/>
  <c r="G12" i="14"/>
  <c r="L12" i="14" s="1"/>
  <c r="H12" i="14"/>
  <c r="E12" i="14"/>
  <c r="M12" i="14" s="1"/>
  <c r="D12" i="14"/>
  <c r="K12" i="14" s="1"/>
  <c r="G11" i="14"/>
  <c r="L11" i="14" s="1"/>
  <c r="H11" i="14"/>
  <c r="E11" i="14"/>
  <c r="M11" i="14" s="1"/>
  <c r="D11" i="14"/>
  <c r="K11" i="14" s="1"/>
  <c r="G10" i="14"/>
  <c r="L10" i="14" s="1"/>
  <c r="H10" i="14"/>
  <c r="E10" i="14"/>
  <c r="M10" i="14" s="1"/>
  <c r="D10" i="14"/>
  <c r="K10" i="14" s="1"/>
  <c r="G9" i="14"/>
  <c r="L9" i="14" s="1"/>
  <c r="H9" i="14"/>
  <c r="D9" i="14"/>
  <c r="K9" i="14" s="1"/>
  <c r="E9" i="14"/>
  <c r="M9" i="14" s="1"/>
  <c r="H8" i="14"/>
  <c r="G8" i="14"/>
  <c r="L8" i="14" s="1"/>
  <c r="E8" i="14"/>
  <c r="M8" i="14" s="1"/>
  <c r="D8" i="14"/>
  <c r="K8" i="14" s="1"/>
  <c r="H7" i="14"/>
  <c r="G7" i="14"/>
  <c r="L7" i="14" s="1"/>
  <c r="D7" i="14"/>
  <c r="K7" i="14" s="1"/>
  <c r="E7" i="14"/>
  <c r="M7" i="14" s="1"/>
  <c r="G6" i="14"/>
  <c r="L6" i="14" s="1"/>
  <c r="H6" i="14"/>
  <c r="D6" i="14"/>
  <c r="K6" i="14" s="1"/>
  <c r="E6" i="14"/>
  <c r="M6" i="14" s="1"/>
  <c r="U74" i="14" l="1"/>
  <c r="W74" i="14" s="1"/>
  <c r="V74" i="14"/>
  <c r="U73" i="14"/>
  <c r="V73" i="14"/>
  <c r="U72" i="14"/>
  <c r="V72" i="14"/>
  <c r="U71" i="14"/>
  <c r="V71" i="14"/>
  <c r="U70" i="14"/>
  <c r="V70" i="14"/>
  <c r="U69" i="14"/>
  <c r="W69" i="14" s="1"/>
  <c r="V69" i="14"/>
  <c r="U68" i="14"/>
  <c r="V68" i="14"/>
  <c r="U67" i="14"/>
  <c r="V67" i="14"/>
  <c r="U66" i="14"/>
  <c r="V66" i="14"/>
  <c r="U65" i="14"/>
  <c r="V65" i="14"/>
  <c r="U64" i="14"/>
  <c r="W64" i="14" s="1"/>
  <c r="V64" i="14"/>
  <c r="U63" i="14"/>
  <c r="V63" i="14"/>
  <c r="U62" i="14"/>
  <c r="V62" i="14"/>
  <c r="U61" i="14"/>
  <c r="V61" i="14"/>
  <c r="U60" i="14"/>
  <c r="V60" i="14"/>
  <c r="U59" i="14"/>
  <c r="V59" i="14"/>
  <c r="U58" i="14"/>
  <c r="V58" i="14"/>
  <c r="W27" i="14"/>
  <c r="K98" i="14"/>
  <c r="M98" i="14"/>
  <c r="K66" i="14"/>
  <c r="M53" i="14"/>
  <c r="M46" i="14"/>
  <c r="K20" i="14"/>
  <c r="K13" i="14"/>
  <c r="M13" i="14"/>
  <c r="W73" i="14" l="1"/>
  <c r="W72" i="14"/>
  <c r="W71" i="14"/>
  <c r="W70" i="14"/>
  <c r="W68" i="14"/>
  <c r="W67" i="14"/>
  <c r="W66" i="14"/>
  <c r="W65" i="14"/>
  <c r="W63" i="14"/>
  <c r="W62" i="14"/>
  <c r="W61" i="14"/>
  <c r="W60" i="14"/>
  <c r="W59" i="14"/>
  <c r="W58" i="1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<sst xmlns="http://schemas.openxmlformats.org/spreadsheetml/2006/main" count="4772" uniqueCount="552">
  <si>
    <t>IMPULSA 2026: CASE STUDY SLOTTING</t>
  </si>
  <si>
    <t>CD Aldeas - Villa El Salvador | Inchcape Perú</t>
  </si>
  <si>
    <t>📊 KPIs: ACTUAL vs META</t>
  </si>
  <si>
    <t>MÉTRICA</t>
  </si>
  <si>
    <t>ACTUAL</t>
  </si>
  <si>
    <t>META</t>
  </si>
  <si>
    <t>MEJORA REQUERIDA</t>
  </si>
  <si>
    <t>Tiempo promedio</t>
  </si>
  <si>
    <t>12.64 min/pedido</t>
  </si>
  <si>
    <t>9.48 min/pedido</t>
  </si>
  <si>
    <t>-25%</t>
  </si>
  <si>
    <t>Productividad</t>
  </si>
  <si>
    <t>11.64 SKU/HH</t>
  </si>
  <si>
    <t>13.39 SKU/HH</t>
  </si>
  <si>
    <t>+15%</t>
  </si>
  <si>
    <t>TÉRMINO</t>
  </si>
  <si>
    <t>DEFINICIÓN</t>
  </si>
  <si>
    <t>SKU</t>
  </si>
  <si>
    <t>Stock Keeping Unit - Código único del producto</t>
  </si>
  <si>
    <t>ROTACIÓN</t>
  </si>
  <si>
    <t>Cantidad de veces que se despacha en 6 meses</t>
  </si>
  <si>
    <t>ABC</t>
  </si>
  <si>
    <t>A=Alta rotación, B=Media, C=Baja</t>
  </si>
  <si>
    <t>VOL_M3</t>
  </si>
  <si>
    <t>Volumen en metros cúbicos</t>
  </si>
  <si>
    <t>ZONA</t>
  </si>
  <si>
    <t>Área física del almacén</t>
  </si>
  <si>
    <t>TIEMPO</t>
  </si>
  <si>
    <t>Minutos que demora buscar y recoger</t>
  </si>
  <si>
    <t>CAPACIDAD</t>
  </si>
  <si>
    <t>Volumen máximo que cabe en la zona</t>
  </si>
  <si>
    <t>PASOS PARA RESOLVER</t>
  </si>
  <si>
    <t>1. VER</t>
  </si>
  <si>
    <t>Abre STOCK_ACTUAL, LAYOUT_CD y EXTRACTO_PEDIDOS</t>
  </si>
  <si>
    <t>2. ENTENDER</t>
  </si>
  <si>
    <t>Entiende por qué toma 12.64 min/pedido HOY</t>
  </si>
  <si>
    <t>3. PROPONER</t>
  </si>
  <si>
    <t>Reasigna SKUs a zonas en CONSTRUYE_TU_SLOTTING</t>
  </si>
  <si>
    <t>4. VALIDAR</t>
  </si>
  <si>
    <t>Verifica que caben en capacidades (OCUPACIÓN)</t>
  </si>
  <si>
    <t>5. CALCULAR</t>
  </si>
  <si>
    <t>Calcula el nuevo tiempo (suma tiempos de zonas)</t>
  </si>
  <si>
    <t>6. COMPARAR</t>
  </si>
  <si>
    <t>¿Logras bajar a 9.48 min (-25%)?</t>
  </si>
  <si>
    <t>MARCA</t>
  </si>
  <si>
    <t>FAMILIA</t>
  </si>
  <si>
    <t>VOLUMEN_M3</t>
  </si>
  <si>
    <t>PESO_KG</t>
  </si>
  <si>
    <t>SKU00001</t>
  </si>
  <si>
    <t>Marca A</t>
  </si>
  <si>
    <t>Filtros</t>
  </si>
  <si>
    <t>SKU00002</t>
  </si>
  <si>
    <t>Marca B</t>
  </si>
  <si>
    <t>Lubricantes</t>
  </si>
  <si>
    <t>SKU00003</t>
  </si>
  <si>
    <t>Marca C</t>
  </si>
  <si>
    <t>Pastillas</t>
  </si>
  <si>
    <t>SKU00004</t>
  </si>
  <si>
    <t>Marca D</t>
  </si>
  <si>
    <t>Correas</t>
  </si>
  <si>
    <t>SKU00005</t>
  </si>
  <si>
    <t>Marca E</t>
  </si>
  <si>
    <t>Soportes</t>
  </si>
  <si>
    <t>SKU00006</t>
  </si>
  <si>
    <t>SKU00007</t>
  </si>
  <si>
    <t>SKU00008</t>
  </si>
  <si>
    <t>SKU00009</t>
  </si>
  <si>
    <t>SKU00010</t>
  </si>
  <si>
    <t>SKU00011</t>
  </si>
  <si>
    <t>SKU00012</t>
  </si>
  <si>
    <t>SKU00013</t>
  </si>
  <si>
    <t>SKU00014</t>
  </si>
  <si>
    <t>SKU00015</t>
  </si>
  <si>
    <t>SKU00016</t>
  </si>
  <si>
    <t>SKU00017</t>
  </si>
  <si>
    <t>SKU00018</t>
  </si>
  <si>
    <t>SKU00019</t>
  </si>
  <si>
    <t>SKU00020</t>
  </si>
  <si>
    <t>SKU00021</t>
  </si>
  <si>
    <t>SKU00022</t>
  </si>
  <si>
    <t>SKU00023</t>
  </si>
  <si>
    <t>SKU00024</t>
  </si>
  <si>
    <t>SKU00025</t>
  </si>
  <si>
    <t>SKU00026</t>
  </si>
  <si>
    <t>SKU00027</t>
  </si>
  <si>
    <t>SKU00028</t>
  </si>
  <si>
    <t>SKU00029</t>
  </si>
  <si>
    <t>SKU00030</t>
  </si>
  <si>
    <t>SKU00031</t>
  </si>
  <si>
    <t>SKU00032</t>
  </si>
  <si>
    <t>SKU00033</t>
  </si>
  <si>
    <t>SKU00034</t>
  </si>
  <si>
    <t>SKU00035</t>
  </si>
  <si>
    <t>SKU00036</t>
  </si>
  <si>
    <t>SKU00037</t>
  </si>
  <si>
    <t>SKU00038</t>
  </si>
  <si>
    <t>SKU00039</t>
  </si>
  <si>
    <t>SKU00040</t>
  </si>
  <si>
    <t>SKU00041</t>
  </si>
  <si>
    <t>SKU00042</t>
  </si>
  <si>
    <t>SKU00043</t>
  </si>
  <si>
    <t>SKU00044</t>
  </si>
  <si>
    <t>SKU00045</t>
  </si>
  <si>
    <t>SKU00046</t>
  </si>
  <si>
    <t>SKU00047</t>
  </si>
  <si>
    <t>SKU00048</t>
  </si>
  <si>
    <t>SKU00049</t>
  </si>
  <si>
    <t>SKU00050</t>
  </si>
  <si>
    <t>SKU00051</t>
  </si>
  <si>
    <t>SKU00052</t>
  </si>
  <si>
    <t>SKU00053</t>
  </si>
  <si>
    <t>SKU00054</t>
  </si>
  <si>
    <t>SKU00055</t>
  </si>
  <si>
    <t>SKU00056</t>
  </si>
  <si>
    <t>SKU00057</t>
  </si>
  <si>
    <t>SKU00058</t>
  </si>
  <si>
    <t>SKU00059</t>
  </si>
  <si>
    <t>SKU00060</t>
  </si>
  <si>
    <t>SKU00061</t>
  </si>
  <si>
    <t>SKU00062</t>
  </si>
  <si>
    <t>SKU00063</t>
  </si>
  <si>
    <t>SKU00064</t>
  </si>
  <si>
    <t>SKU00065</t>
  </si>
  <si>
    <t>SKU00066</t>
  </si>
  <si>
    <t>SKU00067</t>
  </si>
  <si>
    <t>SKU00068</t>
  </si>
  <si>
    <t>SKU00069</t>
  </si>
  <si>
    <t>SKU00070</t>
  </si>
  <si>
    <t>SKU00071</t>
  </si>
  <si>
    <t>SKU00072</t>
  </si>
  <si>
    <t>SKU00073</t>
  </si>
  <si>
    <t>SKU00074</t>
  </si>
  <si>
    <t>SKU00075</t>
  </si>
  <si>
    <t>SKU00076</t>
  </si>
  <si>
    <t>SKU00077</t>
  </si>
  <si>
    <t>SKU00078</t>
  </si>
  <si>
    <t>SKU00079</t>
  </si>
  <si>
    <t>SKU00080</t>
  </si>
  <si>
    <t>SKU00081</t>
  </si>
  <si>
    <t>SKU00082</t>
  </si>
  <si>
    <t>SKU00083</t>
  </si>
  <si>
    <t>SKU00084</t>
  </si>
  <si>
    <t>SKU00085</t>
  </si>
  <si>
    <t>SKU00086</t>
  </si>
  <si>
    <t>SKU00087</t>
  </si>
  <si>
    <t>SKU00088</t>
  </si>
  <si>
    <t>SKU00089</t>
  </si>
  <si>
    <t>SKU00090</t>
  </si>
  <si>
    <t>SKU00091</t>
  </si>
  <si>
    <t>SKU00092</t>
  </si>
  <si>
    <t>SKU00093</t>
  </si>
  <si>
    <t>SKU00094</t>
  </si>
  <si>
    <t>SKU00095</t>
  </si>
  <si>
    <t>SKU00096</t>
  </si>
  <si>
    <t>SKU00097</t>
  </si>
  <si>
    <t>SKU00098</t>
  </si>
  <si>
    <t>SKU00099</t>
  </si>
  <si>
    <t>SKU00100</t>
  </si>
  <si>
    <t>ROTACION_6M</t>
  </si>
  <si>
    <t>A</t>
  </si>
  <si>
    <t>B</t>
  </si>
  <si>
    <t>C</t>
  </si>
  <si>
    <t>UBICACIÓN</t>
  </si>
  <si>
    <t>ZONA_ACTUAL</t>
  </si>
  <si>
    <t>UB00001</t>
  </si>
  <si>
    <t>2. PISO</t>
  </si>
  <si>
    <t>UB00002</t>
  </si>
  <si>
    <t>1. LLANTAS</t>
  </si>
  <si>
    <t>UB00003</t>
  </si>
  <si>
    <t>UB00004</t>
  </si>
  <si>
    <t>7. MEZANNINE</t>
  </si>
  <si>
    <t>UB00005</t>
  </si>
  <si>
    <t>UB00006</t>
  </si>
  <si>
    <t>UB00007</t>
  </si>
  <si>
    <t>UB00008</t>
  </si>
  <si>
    <t>8. CLUSTER</t>
  </si>
  <si>
    <t>UB00009</t>
  </si>
  <si>
    <t>4. RACK BALDA</t>
  </si>
  <si>
    <t>UB00010</t>
  </si>
  <si>
    <t>5. RACK SIMPLE</t>
  </si>
  <si>
    <t>UB00011</t>
  </si>
  <si>
    <t>UB00012</t>
  </si>
  <si>
    <t>UB00013</t>
  </si>
  <si>
    <t>UB00014</t>
  </si>
  <si>
    <t>UB00015</t>
  </si>
  <si>
    <t>UB00016</t>
  </si>
  <si>
    <t>UB00017</t>
  </si>
  <si>
    <t>UB00018</t>
  </si>
  <si>
    <t>UB00019</t>
  </si>
  <si>
    <t>UB00020</t>
  </si>
  <si>
    <t>UB00021</t>
  </si>
  <si>
    <t>UB00022</t>
  </si>
  <si>
    <t>10. UBICACIÓN RECIBO</t>
  </si>
  <si>
    <t>UB00023</t>
  </si>
  <si>
    <t>UB00024</t>
  </si>
  <si>
    <t>UB00025</t>
  </si>
  <si>
    <t>UB00026</t>
  </si>
  <si>
    <t>6. RACK COLGANTES</t>
  </si>
  <si>
    <t>UB00027</t>
  </si>
  <si>
    <t>UB00028</t>
  </si>
  <si>
    <t>UB00029</t>
  </si>
  <si>
    <t>UB00030</t>
  </si>
  <si>
    <t>UB00031</t>
  </si>
  <si>
    <t>UB00032</t>
  </si>
  <si>
    <t>UB00033</t>
  </si>
  <si>
    <t>UB00034</t>
  </si>
  <si>
    <t>UB00035</t>
  </si>
  <si>
    <t>UB00036</t>
  </si>
  <si>
    <t>UB00037</t>
  </si>
  <si>
    <t>UB00038</t>
  </si>
  <si>
    <t>UB00039</t>
  </si>
  <si>
    <t>UB00040</t>
  </si>
  <si>
    <t>UB00041</t>
  </si>
  <si>
    <t>UB00042</t>
  </si>
  <si>
    <t>UB00043</t>
  </si>
  <si>
    <t>UB00044</t>
  </si>
  <si>
    <t>UB00045</t>
  </si>
  <si>
    <t>UB00046</t>
  </si>
  <si>
    <t>UB00047</t>
  </si>
  <si>
    <t>UB00048</t>
  </si>
  <si>
    <t>UB00049</t>
  </si>
  <si>
    <t>UB00050</t>
  </si>
  <si>
    <t>UB00051</t>
  </si>
  <si>
    <t>UB00052</t>
  </si>
  <si>
    <t>UB00053</t>
  </si>
  <si>
    <t>UB00054</t>
  </si>
  <si>
    <t>UB00055</t>
  </si>
  <si>
    <t>UB00056</t>
  </si>
  <si>
    <t>UB00057</t>
  </si>
  <si>
    <t>UB00058</t>
  </si>
  <si>
    <t>UB00059</t>
  </si>
  <si>
    <t>UB00060</t>
  </si>
  <si>
    <t>UB00061</t>
  </si>
  <si>
    <t>UB00062</t>
  </si>
  <si>
    <t>UB00063</t>
  </si>
  <si>
    <t>UB00064</t>
  </si>
  <si>
    <t>UB00065</t>
  </si>
  <si>
    <t>UB00066</t>
  </si>
  <si>
    <t>UB00067</t>
  </si>
  <si>
    <t>UB00068</t>
  </si>
  <si>
    <t>UB00069</t>
  </si>
  <si>
    <t>UB00070</t>
  </si>
  <si>
    <t>UB00071</t>
  </si>
  <si>
    <t>UB00072</t>
  </si>
  <si>
    <t>UB00073</t>
  </si>
  <si>
    <t>UB00074</t>
  </si>
  <si>
    <t>UB00075</t>
  </si>
  <si>
    <t>UB00076</t>
  </si>
  <si>
    <t>UB00077</t>
  </si>
  <si>
    <t>UB00078</t>
  </si>
  <si>
    <t>UB00079</t>
  </si>
  <si>
    <t>UB00080</t>
  </si>
  <si>
    <t>UB00081</t>
  </si>
  <si>
    <t>UB00082</t>
  </si>
  <si>
    <t>UB00083</t>
  </si>
  <si>
    <t>UB00084</t>
  </si>
  <si>
    <t>UB00085</t>
  </si>
  <si>
    <t>UB00086</t>
  </si>
  <si>
    <t>UB00087</t>
  </si>
  <si>
    <t>UB00088</t>
  </si>
  <si>
    <t>UB00089</t>
  </si>
  <si>
    <t>UB00090</t>
  </si>
  <si>
    <t>UB00091</t>
  </si>
  <si>
    <t>UB00092</t>
  </si>
  <si>
    <t>UB00093</t>
  </si>
  <si>
    <t>UB00094</t>
  </si>
  <si>
    <t>UB00095</t>
  </si>
  <si>
    <t>UB00096</t>
  </si>
  <si>
    <t>UB00097</t>
  </si>
  <si>
    <t>UB00098</t>
  </si>
  <si>
    <t>UB00099</t>
  </si>
  <si>
    <t>UB00100</t>
  </si>
  <si>
    <t>DISTANCIA_METROS</t>
  </si>
  <si>
    <t>TIEMPO_MINUTOS</t>
  </si>
  <si>
    <t>CAPACIDAD_M3_MAX</t>
  </si>
  <si>
    <t>14. LATERALES</t>
  </si>
  <si>
    <t>CAPACIDAD_MAX_M3</t>
  </si>
  <si>
    <t>VOLUMEN_USADO_M3</t>
  </si>
  <si>
    <t>VOLUMEN_DISPONIBLE_M3</t>
  </si>
  <si>
    <t>PORCENTAJE_USO_%</t>
  </si>
  <si>
    <t>PEDIDO_ID</t>
  </si>
  <si>
    <t>LINEA</t>
  </si>
  <si>
    <t>CANTIDAD</t>
  </si>
  <si>
    <t>TIEMPO_HOY_MIN</t>
  </si>
  <si>
    <t>ROT_6M</t>
  </si>
  <si>
    <t>MI_LOGICA</t>
  </si>
  <si>
    <t>ZONA_NUEVA</t>
  </si>
  <si>
    <t>TIEMPO_NUEVO_MIN</t>
  </si>
  <si>
    <t>JUSTIFICACION</t>
  </si>
  <si>
    <t>CANT</t>
  </si>
  <si>
    <t>FILTROS</t>
  </si>
  <si>
    <t>LUBRICANTES</t>
  </si>
  <si>
    <t>PASTILLAS</t>
  </si>
  <si>
    <t>CORREAS</t>
  </si>
  <si>
    <t>SOPORTES</t>
  </si>
  <si>
    <t>TOTAL SKU</t>
  </si>
  <si>
    <t>MARCAS</t>
  </si>
  <si>
    <t>MARCA A</t>
  </si>
  <si>
    <t>MARCA B</t>
  </si>
  <si>
    <t>MARCA C</t>
  </si>
  <si>
    <t>MARCA D</t>
  </si>
  <si>
    <t>MARCA E</t>
  </si>
  <si>
    <t>BASE ANALÍTICA CONSOLIDADA — CD ALDEAS / INCHCAPE PERÚ</t>
  </si>
  <si>
    <t>Muestra académica 100 SKU. Todas las celdas de esta hoja son fórmulas que referencian las hojas fuente originales.</t>
  </si>
  <si>
    <t>ROTACIÓN 6M</t>
  </si>
  <si>
    <t>ZONA ACTUAL</t>
  </si>
  <si>
    <t>TIEMPO ACCESO (MIN)</t>
  </si>
  <si>
    <t>DISTANCIA (M)</t>
  </si>
  <si>
    <t>VOLUMEN M3</t>
  </si>
  <si>
    <t>PESO KG</t>
  </si>
  <si>
    <t>MIN-PICK ANUALIZ. (ROT×TIEMPO)</t>
  </si>
  <si>
    <t>ZONA LEJANA (&gt;4 MIN)</t>
  </si>
  <si>
    <t>CANDIDATO RESLOTTING</t>
  </si>
  <si>
    <t>Umbral de zona lejana (min de acceso) — supuesto ajustable</t>
  </si>
  <si>
    <t>T1 — DISTRIBUCIÓN ABC</t>
  </si>
  <si>
    <t>% SKU</t>
  </si>
  <si>
    <t>ROTACIÓN TOTAL</t>
  </si>
  <si>
    <t>% ROTACIÓN</t>
  </si>
  <si>
    <t>Clase A</t>
  </si>
  <si>
    <t>Clase B</t>
  </si>
  <si>
    <t>Clase C</t>
  </si>
  <si>
    <t>TOTAL</t>
  </si>
  <si>
    <t>T2 — ROTACIÓN PROMEDIO POR FAMILIA (ranking desc.)</t>
  </si>
  <si>
    <t>ROT. PROM.</t>
  </si>
  <si>
    <t>ROT. TOTAL</t>
  </si>
  <si>
    <t>N° SKU</t>
  </si>
  <si>
    <t>N° SKU CLASE A</t>
  </si>
  <si>
    <t>T3-T7 — PANEL CONSOLIDADO POR ZONA</t>
  </si>
  <si>
    <t>DIST. (M)</t>
  </si>
  <si>
    <t>VOL. USADO M3</t>
  </si>
  <si>
    <t>CAPACIDAD M3</t>
  </si>
  <si>
    <t>% USO</t>
  </si>
  <si>
    <t>SKU A</t>
  </si>
  <si>
    <t>SKU B</t>
  </si>
  <si>
    <t>SKU C</t>
  </si>
  <si>
    <t>MIN-PICK TOTAL</t>
  </si>
  <si>
    <t>T8 — TOP 20 SKU POR ROTACIÓN (PARETO)</t>
  </si>
  <si>
    <t>% ACUM. DEL MOVIMIENTO TOTAL</t>
  </si>
  <si>
    <t>TIEMPO (MIN)</t>
  </si>
  <si>
    <t>T9 — CANDIDATOS DE RESLOTTING: SKU CLASE A EN ZONAS LEJANAS</t>
  </si>
  <si>
    <t>Zonas evaluadas: LLANTAS, MEZANNINE, RACK SIMPLE, RACK BALDA</t>
  </si>
  <si>
    <t>TIEMPO ACTUAL (MIN)</t>
  </si>
  <si>
    <t>MIN-PICK ACTUAL</t>
  </si>
  <si>
    <t>MIN-PICK SI PASA A PISO</t>
  </si>
  <si>
    <t>AHORRO POTENCIAL (MIN)</t>
  </si>
  <si>
    <t>TOTAL 18 CANDIDATOS</t>
  </si>
  <si>
    <t>T11 — DISTRIBUCIÓN DE PESO POR FAMILIA (KG)</t>
  </si>
  <si>
    <t>MÍN</t>
  </si>
  <si>
    <t>Q1</t>
  </si>
  <si>
    <t>MEDIANA</t>
  </si>
  <si>
    <t>Q3</t>
  </si>
  <si>
    <t>MÁX</t>
  </si>
  <si>
    <t>PROMEDIO</t>
  </si>
  <si>
    <t>RIQ (Q3-Q1)</t>
  </si>
  <si>
    <t>SKU &gt;40 KG</t>
  </si>
  <si>
    <t>T12 — DISTRIBUCIÓN DE VOLUMEN POR FAMILIA (M3)</t>
  </si>
  <si>
    <t>VOL. TOTAL M3</t>
  </si>
  <si>
    <t>% VOL. DEL CD</t>
  </si>
  <si>
    <t>T13 — KPI GLOBALES DEL DIAGNÓSTICO</t>
  </si>
  <si>
    <t>VALOR</t>
  </si>
  <si>
    <t>Tiempo promedio de acceso ponderado por rotación (min)</t>
  </si>
  <si>
    <t>Tiempo promedio de acceso simple (min)</t>
  </si>
  <si>
    <t>Min-pick totales del CD (6 meses)</t>
  </si>
  <si>
    <t>SKU clase A en zonas lejanas (&gt;4 min)</t>
  </si>
  <si>
    <t>% de SKU clase A mal ubicados</t>
  </si>
  <si>
    <t>SKU clase C en zonas premium (&lt;=2.01 min)</t>
  </si>
  <si>
    <t>Ahorro potencial identificado (min-pick, 6M)</t>
  </si>
  <si>
    <t>% reducción sobre min-pick de los 18 candidatos</t>
  </si>
  <si>
    <t>% reducción sobre min-pick totales del CD</t>
  </si>
  <si>
    <t>Ocupación volumétrica global del CD</t>
  </si>
  <si>
    <t>Correlación rotación vs tiempo de acceso</t>
  </si>
  <si>
    <t>Zonas del layout sin ningún SKU asignado</t>
  </si>
  <si>
    <t>SISTEMA INTELIGENTE DE RESLOTTING — MVP DE DIAGNÓSTICO ANALÍTICO</t>
  </si>
  <si>
    <t>Inchcape Perú  |  CD Aldeas  |  Repuestos automotrices  |  Muestra académica: 100 SKU de un universo de +55,000</t>
  </si>
  <si>
    <t>Todos los gráficos se alimentan de fórmulas en ANALYTICS_BASE, que referencian únicamente las hojas fuente del archivo. Sin datos externos ni supuestos inventados.</t>
  </si>
  <si>
    <t>DATOS DE APOYO PARA GRÁFICOS (no imprimir)</t>
  </si>
  <si>
    <t>G10 — Scatter: Rotación vs Tiempo</t>
  </si>
  <si>
    <t>Resto de SKU</t>
  </si>
  <si>
    <t>CANDIDATOS CRÍTICOS (A + zona lejana)</t>
  </si>
  <si>
    <t>G11 — Boxplot PESO (base + cajas + bigotes)</t>
  </si>
  <si>
    <t>Bigote inf.</t>
  </si>
  <si>
    <t>Bigote sup.</t>
  </si>
  <si>
    <t>G12 — Boxplot VOLUMEN</t>
  </si>
  <si>
    <t>G1 · CONCENTRACIÓN DE LA DEMANDA: ESTRUCTURA DE CLASIFICACIÓN ABC DEL PORTAFOLIO</t>
  </si>
  <si>
    <t>LECTURA EJECUTIVA</t>
  </si>
  <si>
    <t>La distribución es anormalmente plana: 39 SKU clase A (39% del portafolio) explican solo 55.0% de la rotación, cuando un ABC sano concentra ~80% en ~20% de los SKU. Los 26 SKU clase C aún representan 12.3% del movimiento.</t>
  </si>
  <si>
    <t>HALLAZGO</t>
  </si>
  <si>
    <t>No existe una élite clara de SKU de alta rotación. El corte ABC vigente parece haberse definido por terciles de conveniencia (39/35/26) y no por un umbral económico de concentración de demanda.</t>
  </si>
  <si>
    <t>IMPACTO EN RESLOTTING</t>
  </si>
  <si>
    <t>Un reslotting guiado solo por esta etiqueta ABC movilizaría 39 SKU sin capturar un beneficio proporcional. Se requiere re-segmentar con criterio de min-pick (rotación × tiempo) para priorizar los movimientos que realmente pagan.</t>
  </si>
  <si>
    <t>G2 · INTENSIDAD OPERATIVA POR FAMILIA: RANKING DE ROTACIÓN PROMEDIO</t>
  </si>
  <si>
    <t>Soportes (352) y Correas (338) lideran la actividad; Lubricantes cierra el ranking (250). El rango total es de apenas 1.41x entre la primera y la última familia, con 20 SKU exactos en cada una.</t>
  </si>
  <si>
    <t>Ninguna familia domina la operación. Soportes concentra 12 de los 39 SKU clase A y Lubricantes solo 4, pero la diferencia de rotación promedio es demasiado estrecha para justificar por sí sola una zonificación por familia.</t>
  </si>
  <si>
    <t>Descarta la estrategia de "familia completa a zona premium": movería 20 SKU para capturar una ventaja marginal. La segmentación debe ser a nivel SKU. La familia solo debe usarse como restricción física (peso/volumen), no como criterio de cercanía.</t>
  </si>
  <si>
    <t>G3 · MAPA DE CALOR: DENSIDAD DE SKU POR ZONA DE ALMACENAMIENTO</t>
  </si>
  <si>
    <t>% DEL PORTAFOLIO</t>
  </si>
  <si>
    <t>MIN-PICK TOTALES (6M)</t>
  </si>
  <si>
    <t>2. PISO concentra 27% del portafolio y es la zona más rápida (1.6 min). Pero 1. LLANTAS — la zona más lenta del CD (8.04 min) — aloja 15 SKU, igual que 5. RACK SIMPLE. La zona 14. LATERALES está completamente vacía: 0 SKU sobre 220 m³ de capacidad.</t>
  </si>
  <si>
    <t>El costo operativo no sigue a la densidad de SKU. LLANTAS consume 32,924 min-pick (el mayor del CD, 25.7% del total) con solo 15 SKU, mientras 2. PISO mueve 27 SKU con 13,194 min. Existe una zona ociosa no aprovechada.</t>
  </si>
  <si>
    <t>LLANTAS y MEZANNINE son el foco prioritario de vaciado (53,172 min-pick combinados). 14. LATERALES (5.63 min) puede absorber SKU clase C hoy alojados en zonas premium, liberando espacio rápido sin inversión en infraestructura.</t>
  </si>
  <si>
    <t>G4 · TEST DE COHERENCIA DEL SLOTTING: ROTACIÓN PROMEDIO POR ZONA</t>
  </si>
  <si>
    <t>La rotación promedio es prácticamente idéntica en todas las zonas: entre 266 (RACK BALDA, 4.82 min) y 331 (UBICACIÓN RECIBO, 2.01 min). LLANTAS, la zona más lejana del CD, aloja SKU con rotación promedio de 273 — superior a RACK BALDA, que está 40 m más cerca.</t>
  </si>
  <si>
    <t>Respuesta directa a la hipótesis: NO. Los SKU más dinámicos no están en las zonas más cercanas. La correlación global entre rotación y tiempo de acceso es -0.068 — estadísticamente nula. La ubicación actual es indistinguible de una asignación aleatoria.</t>
  </si>
  <si>
    <t>Este es el hallazgo que justifica el proyecto completo. Al no existir lógica de cercanía instalada, cualquier reordenamiento basado en rotación captura beneficio inmediato: no hay que corregir un criterio previo, hay que introducir el primero.</t>
  </si>
  <si>
    <t>G4 - Rotación y tiempo por zona</t>
  </si>
  <si>
    <t>Rotación promedio</t>
  </si>
  <si>
    <t>Tiempo de acceso (min)</t>
  </si>
  <si>
    <t>G5 · MATRIZ DE ALINEAMIENTO ABC × ZONA: ¿RESPONDE EL SLOTTING ACTUAL A LA CLASIFICACIÓN?</t>
  </si>
  <si>
    <t>% CLASE A EN LA ZONA</t>
  </si>
  <si>
    <t>DIAGNÓSTICO</t>
  </si>
  <si>
    <t>Las tres clases están dispersas en casi todas las zonas. 2. PISO (la zona más rápida, 1.6 min) aloja 13 SKU A pero también 8 SKU C. LLANTAS (8.04 min, la más lejana) contiene 3 SKU A y 9 SKU B. Solo 1 de 8 zonas activas resulta "Alineada".</t>
  </si>
  <si>
    <t>Respuesta a la hipótesis: la estrategia actual NO responde a ABC. Si respondiera, la diagonal estaría cargada (A en zonas rápidas, C en lejanas); en cambio la matriz está poblada de forma difusa. 20 SKU A (51% de la clase) están en zonas de más de 4 min y 10 SKU C ocupan zonas premium.</t>
  </si>
  <si>
    <t>Habilita un intercambio directo de alto retorno y costo casi nulo: permutar los 10 SKU C de zonas premium por SKU A de zonas lejanas. Es un swap 1:1 que no requiere obra ni capacidad adicional, solo reetiquetado de ubicaciones.</t>
  </si>
  <si>
    <t>G6 · OCUPACIÓN VOLUMÉTRICA POR ZONA: CAPACIDAD UTILIZADA VS. DISPONIBLE</t>
  </si>
  <si>
    <t>En volumen absoluto, 2. PISO concentra la mayor ocupación de la muestra, seguida por RACK SIMPLE y LLANTAS. Pero la ocupación volumétrica global de los 100 SKU es de solo 0.98% de la capacidad instalada del CD — la muestra es 100 de +55,000 SKU.</t>
  </si>
  <si>
    <t>El volumen NO es la restricción activa en esta muestra: sobra capacidad en todas las zonas. La restricción real es el tiempo de acceso. Advertencia: al ser 0.18% del universo, estos % de ocupación no son extrapolables al CD real.</t>
  </si>
  <si>
    <t>Con holgura volumétrica aparente, el reslotting puede optimizarse casi libremente por tiempo de acceso. Pero antes de ejecutar es indispensable obtener la ocupación real del CD completo: si las zonas premium ya están saturadas por los otros 54,900 SKU, el margen de maniobra desaparece.</t>
  </si>
  <si>
    <t>Volumen utilizado (m³)</t>
  </si>
  <si>
    <t>Capacidad zona (m³)</t>
  </si>
  <si>
    <t>G7 · COSTO OPERATIVO POR ZONA: RANKING DE TIEMPO DE ACCESO Y MIN-PICK CONSUMIDOS</t>
  </si>
  <si>
    <t>El rango de tiempo de acceso va de 1.6 min (2. PISO) a 8.04 min (1. LLANTAS): un factor de 5.0x. LLANTAS y MEZANNINE (6.42 min) son las zonas más costosas. En min-pick consumidos, LLANTAS lidera con 32,924 min — 25.7% del costo total del CD en la muestra.</t>
  </si>
  <si>
    <t>Las zonas más costosas operacionalmente son LLANTAS, MEZANNINE y RACK SIMPLE, que juntas consumen 80,067 min-pick (62.5% del total) con solo 40 SKU. El diferencial de 6.44 min entre la mejor y la peor zona es la palanca económica del proyecto.</t>
  </si>
  <si>
    <t>Cada SKU de alta rotación movido de LLANTAS a PISO ahorra 6.44 min por pick. Estas tres zonas definen la cola de prioridad de vaciado. Nota metodológica: el tiempo del layout es un promedio por zona, no considera la posición del pasillo ni la altura del nivel.</t>
  </si>
  <si>
    <t>Min-pick consumidos (6M)</t>
  </si>
  <si>
    <t>clave desempate</t>
  </si>
  <si>
    <t>G8 · ANÁLISIS DE PARETO: CONCENTRACIÓN DEL MOVIMIENTO EN EL TOP 20 SKU</t>
  </si>
  <si>
    <t>Los 20 SKU de mayor rotación (20% del portafolio) explican 30.2% del movimiento total de 29,790 unidades. El SKU líder aporta 1.8%. La curva de Pareto es casi lineal, muy lejos de la regla 80/20.</t>
  </si>
  <si>
    <t>Respuesta a la pregunta: el Top 20 explica 30.2%, no 80%. La demanda está atómicamente distribuida — no hay "pocos SKU críticos". Esto es típico del rubro de repuestos (long tail), pero limita fuertemente el retorno de optimizar solo la cabeza de la curva.</t>
  </si>
  <si>
    <t>Una estrategia de "golden zone para el Top 20" capturaría solo 30% del movimiento. El reslotting debe ser masivo y sistemático (regla aplicada a todo el portafolio), no quirúrgico sobre unos pocos SKU. Refuerza la necesidad de un motor automatizado antes que una lista manual.</t>
  </si>
  <si>
    <t>Rotación (6M)</t>
  </si>
  <si>
    <t>% acumulado</t>
  </si>
  <si>
    <t>G9 · TABLA EJECUTIVA: SKU CLASE A EN ZONAS LEJANAS — CANDIDATOS PRIORITARIOS DE RESLOTTING</t>
  </si>
  <si>
    <t>Filtro aplicado: Clase = A  Y  Zona ∈ {1. LLANTAS, 7. MEZANNINE, 5. RACK SIMPLE, 4. RACK BALDA}. Escenario de reubicación: 2. PISO (1.6 min), la zona más rápida del CD.</t>
  </si>
  <si>
    <t>ROTACIÓN (6M)</t>
  </si>
  <si>
    <t>18 SKU clase A están hoy en las 4 zonas lejanas objetivo, acumulando 7,534 unidades despachadas y 45,070 min-pick en 6 meses. SKU00078 (Pastillas, 485 unid. en LLANTAS a 8.04 min) es el caso más crítico: 3,899 min consumidos por un solo SKU.</t>
  </si>
  <si>
    <t>Reubicar estos 18 SKU a 2. PISO reduciría su consumo de 45,070 a 12,054 min-pick: un ahorro de 33,015 min (≈550 horas-hombre) equivalente al 73.3% de su costo actual y al 25.8% del costo total de picking del CD en la muestra.</t>
  </si>
  <si>
    <t>Es el quick-win del MVP: 18 movimientos (18% del portafolio) capturan una cuarta parte del ahorro total. Validación pendiente con el experto logístico: confirmar que PISO admite el peso y volumen de estos SKU — 5 de ellos son Correas y 4 Soportes, familias con SKU de hasta 48 kg.</t>
  </si>
  <si>
    <t>G10 · MATRIZ DE PRIORIZACIÓN: ROTACIÓN VS. TIEMPO DE ACCESO (CANDIDATOS RESALTADOS)</t>
  </si>
  <si>
    <t>La nube de puntos no muestra tendencia (correlación -0.068): los SKU se distribuyen sin relación entre su rotación y su tiempo de acceso. Los puntos rojos son los 20 SKU clase A ubicados a más de 4 min — el cuadrante superior derecho, alta rotación y alto tiempo.</t>
  </si>
  <si>
    <t>El cuadrante crítico está densamente poblado: 20 SKU de alta rotación pagan tiempos de 4 a 8 min por pick, mientras SKU de baja rotación ocupan el cuadrante inferior izquierdo (rápido y poco usado) — exactamente el patrón inverso al óptimo.</t>
  </si>
  <si>
    <t>Este gráfico es el motor de priorización del MVP: la regla operativa es "vaciar el cuadrante superior derecho hacia el inferior derecho". El eje de decisión no es la etiqueta ABC sino el producto rotación × tiempo (min-pick), que ordena los candidatos por retorno real.</t>
  </si>
  <si>
    <t>G11 · RESTRICCIONES FÍSICAS: DISTRIBUCIÓN DE PESO POR FAMILIA (KG)</t>
  </si>
  <si>
    <t>Todas las familias comparten un rango de peso casi idéntico (aprox. 2 a 48 kg) con medianas entre 18 y 30 kg. No existe una familia "ligera" ni una "pesada": la dispersión intra-familia es mucho mayor que la diferencia entre familias.</t>
  </si>
  <si>
    <t>Sí existen restricciones físicas relevantes, pero NO son atribuibles a la familia. Hay SKU de más de 40 kg distribuidos en las 5 familias, lo que impide usar la familia como proxy de ergonomía o de nivel de almacenaje.</t>
  </si>
  <si>
    <t>El motor de reslotting debe evaluar el peso SKU por SKU, no por familia. Regla candidata: los SKU &gt;40 kg deben ir a niveles bajos o zona PISO por ergonomía, lo que puede competir con el criterio de rotación y debe resolverse con una jerarquía de restricciones explícita.</t>
  </si>
  <si>
    <t>(base mín)</t>
  </si>
  <si>
    <t>Q1 → Mediana</t>
  </si>
  <si>
    <t>Mediana → Q3</t>
  </si>
  <si>
    <t>G12 · CONSUMO DE CAPACIDAD LOGÍSTICA: DISTRIBUCIÓN DE VOLUMEN POR FAMILIA (M³)</t>
  </si>
  <si>
    <t>El volumen unitario oscila entre 0.05 y 0.49 m³ en las cinco familias, con medianas de 0.19 a 0.31 m³. En volumen total agregado: Filtros 5.71 m³ (21.8%), Correas 5.49 (21.0%), Pastillas 5.27 (20.1%), Lubricantes 4.93 (18.9%) y Soportes 4.76 (18.2%).</t>
  </si>
  <si>
    <t>Ninguna familia consume desproporcionadamente más capacidad: el rango va de 18.2% a 21.8%, cuando una distribución perfectamente uniforme daría 20% a cada una. Filtros y Correas tienen las medianas mayores (0.31 y 0.30 m³), pero la diferencia es marginal.</t>
  </si>
  <si>
    <t>El volumen no discrimina entre familias y por tanto no puede usarse para zonificar. Alerta de diseño del dataset: peso y volumen aparecen distribuidos de forma cuasi-uniforme en las 5 familias, patrón propio de datos generados sintéticamente — debe validarse con dimensiones reales antes de fijar reglas de capacidad.</t>
  </si>
  <si>
    <t>HALLAZGOS PRELIMINARES DEL DATASET</t>
  </si>
  <si>
    <t>Inchcape Perú  ·  CD Aldeas  ·  MVP Sistema Inteligente de Reslotting  ·  Base: 100 SKU (muestra académica de un universo de +55,000)</t>
  </si>
  <si>
    <t>TESIS CENTRAL DEL DIAGNÓSTICO</t>
  </si>
  <si>
    <t>La ubicación actual de los SKU en el CD Aldeas no guarda relación estadística con su rotación (correlación = -0.068). El slotting vigente es, a efectos prácticos, aleatorio respecto a la demanda. Esto convierte al reslotting en una oportunidad de eficiencia de primer orden y no en un ajuste marginal: 18 SKU clase A mal ubicados concentran un ahorro potencial de 33,015 minutos de picking en 6 meses, equivalente al 25.8% del esfuerzo total de picking de la muestra.</t>
  </si>
  <si>
    <t>1. CINCO INSIGHTS CLAVE</t>
  </si>
  <si>
    <t>INSIGHT</t>
  </si>
  <si>
    <t>EVIDENCIA EN EL DATASET</t>
  </si>
  <si>
    <t>I1. El slotting actual es aleatorio respecto a la rotación</t>
  </si>
  <si>
    <t>La correlación entre rotación (unid. despachadas 6M) y tiempo de acceso a la zona asignada es prácticamente nula. No existe evidencia de que la asignación de ubicaciones haya respondido a criterios de demanda: el tiempo promedio ponderado por rotación (4.30 min) es casi idéntico al promedio simple (4.36 min), cuando un slotting optimizado debería mostrar el ponderado muy por debajo del simple.</t>
  </si>
  <si>
    <t>I2. La mitad de los SKU de clase A está en zonas lejanas</t>
  </si>
  <si>
    <t>De los 39 SKU clase A, 20 están ubicados en zonas con tiempo de acceso superior a 4 minutos (CLUSTER, RACK BALDA, RACK SIMPLE, MEZANNINE, LLANTAS). En paralelo, 10 SKU clase C ocupan las zonas premium PISO y UBICACIÓN RECIBO (≤2.01 min). Es un doble desperdicio simétrico: lo que rota lejos y lo que no rota cerca.</t>
  </si>
  <si>
    <t>I3. El ABC del dataset es anormalmente plano</t>
  </si>
  <si>
    <t>Los 39 SKU clase A explican solo el 55.0% de la rotación total, y la clase C todavía representa el 12.3%. Un ABC típico de repuestos concentra ~80% de la demanda en ~20% de los SKU. La estructura 39/35/26 sugiere un corte por terciles y no por umbral de concentración económica.</t>
  </si>
  <si>
    <t>I4. El costo operativo se concentra en LLANTAS y RACK SIMPLE</t>
  </si>
  <si>
    <t>LLANTAS es la zona más costosa del CD (8.04 min, 100 m de distancia) y a la vez la que más esfuerzo de picking absorbe: 32,924 min-pick en 6 meses con solo 15 SKU. Sumada a RACK SIMPLE (26,895) y MEZANNINE (20,249), estas tres zonas explican 80,067 min-pick, el 62.5% del esfuerzo total, con apenas 40 SKU.</t>
  </si>
  <si>
    <t>I5. La capacidad física NO es la restricción en esta muestra</t>
  </si>
  <si>
    <t>Los 100 SKU ocupan 26.16 m³ sobre una capacidad instalada de 2,680 m³: 0.98% de utilización volumétrica. Ninguna zona supera el 1.9% de uso. Además, la zona LATERALES (220 m³) no tiene ningún SKU asignado. El cuello de botella del reslotting no será el espacio, sino las reglas de negocio y las restricciones de manipulación.</t>
  </si>
  <si>
    <t>2. CINCO OPORTUNIDADES POTENCIALES</t>
  </si>
  <si>
    <t>OPORTUNIDAD</t>
  </si>
  <si>
    <t>DESCRIPCIÓN Y BASE DE CÁLCULO</t>
  </si>
  <si>
    <t>IMPACTO CUANTIFICADO</t>
  </si>
  <si>
    <t>O1. Reslotting quirúrgico de 18 SKU clase A</t>
  </si>
  <si>
    <t>Reubicar los 18 SKU clase A que hoy están en LLANTAS, MEZANNINE, RACK SIMPLE y RACK BALDA hacia PISO (1.6 min) libera el mayor ahorro por unidad de esfuerzo del proyecto. Es una intervención de 18 movimientos — no un reacomodo masivo — sobre un portafolio de 100 SKU.</t>
  </si>
  <si>
    <t>O2. Intercambio simétrico A-lejano por C-cercano</t>
  </si>
  <si>
    <t>Existen 10 SKU clase C en zonas premium y 20 SKU clase A en zonas lejanas. Un intercambio directo evita la necesidad de crear espacio nuevo: cada SKU A que sube a PISO desplaza a un SKU C hacia la zona liberada. Operativamente es un swap, con costo de mano de obra acotado y sin inversión en infraestructura.</t>
  </si>
  <si>
    <t>O3. Activar la zona LATERALES, hoy ociosa</t>
  </si>
  <si>
    <t>LATERALES figura en el layout con 220 m³ de capacidad y 5.63 min de acceso, pero no tiene ningún SKU asignado en la muestra. Puede absorber SKU de clase C de baja rotación desplazados desde zonas premium, o servir como buffer de reserva durante la ejecución del reslotting.</t>
  </si>
  <si>
    <t>O4. Rediseñar el criterio de clasificación: de ABC a min-pick</t>
  </si>
  <si>
    <t>El indicador rotación × tiempo de acceso (min-pick) ya calculado por SKU en ANALYTICS_BASE ordena el portafolio por costo operativo real y no por volumen de salida. Sustituir el ABC por esta métrica como criterio de priorización permite dirigir el esfuerzo a los SKU que efectivamente consumen horas-hombre.</t>
  </si>
  <si>
    <t>O5. Escalar el MVP al universo de +55,000 SKU</t>
  </si>
  <si>
    <t>La lógica construida es paramétrica: se alimenta de rotación, zona, tiempo de acceso, peso y volumen. Aplicada al universo real, el mismo motor puede rankear candidatos de reslotting de forma continua. El dataset actual representa el 0.18% del universo, por lo que el modelo debe validarse antes de extrapolar el ahorro.</t>
  </si>
  <si>
    <t>3. CINCO RIESGOS DE DECIDIR SOLO CON ABC</t>
  </si>
  <si>
    <t>RIESGO</t>
  </si>
  <si>
    <t>POR QUÉ IMPORTA — EVIDENCIA EN EL DATASET</t>
  </si>
  <si>
    <t>SEÑAL DE ALERTA</t>
  </si>
  <si>
    <t>R1. El ABC ignora el costo de acceso</t>
  </si>
  <si>
    <t>Dos SKU con idéntica rotación generan un costo de picking radicalmente distinto según su zona: 1.6 min en PISO frente a 8.04 min en LLANTAS, una diferencia de 5x. El ABC los trata igual. Priorizar por clase A sin ponderar el tiempo movería SKU que ya están bien ubicados y dejaría intactos SKU B costosos.</t>
  </si>
  <si>
    <t>Diferencial de 5.0x en tiempo de acceso entre zona más rápida y más lenta</t>
  </si>
  <si>
    <t>R2. El ABC ignora restricciones físicas de peso</t>
  </si>
  <si>
    <t>El dataset contiene 24 SKU que superan los 40 kg, repartidos de forma casi uniforme entre las cinco familias (4 a 5 cada una). Un SKU clase A de 49 kg no puede ubicarse en MEZANNINE ni en un nivel alto de rack por ergonomía y seguridad, por más que su rotación lo justifique. El ABC no captura esta restricción.</t>
  </si>
  <si>
    <t>R3. La muestra es estadísticamente insuficiente</t>
  </si>
  <si>
    <t>100 SKU representan el 0.18% de un universo de +55,000. El dataset está perfectamente balanceado (20 SKU por familia, 5 familias), lo que indica diseño académico y no una extracción aleatoria del maestro real. Extrapolar el ahorro de 33,015 min-pick al universo completo carecería de base estadística.</t>
  </si>
  <si>
    <t>20 SKU por familia exactos: muestra diseñada, no aleatoria</t>
  </si>
  <si>
    <t>R4. El ABC estático ignora estacionalidad y ciclo de vida</t>
  </si>
  <si>
    <t>La rotación disponible es un agregado de 6 meses, sin desglose temporal. Un SKU puede ser clase A por un pico estacional puntual y clase C el resto del año. Reubicar a zona premium con base en un agregado semestral corre el riesgo de congelar una ubicación óptima para un patrón de demanda ya extinguido.</t>
  </si>
  <si>
    <t>Rotación agregada 6M sin serie mensual: estacionalidad no observable</t>
  </si>
  <si>
    <t>R5. El ABC por unidades ignora la estructura del pedido</t>
  </si>
  <si>
    <t>El costo real de picking depende de la frecuencia de visita a la ubicación (número de líneas de pedido), no del total de unidades despachadas. Un SKU con 500 unidades en 5 pedidos exige 5 viajes; otro con 300 unidades en 100 pedidos exige 100. El segundo es mucho más crítico para el slotting, y el ABC por unidades lo clasificaría por debajo.</t>
  </si>
  <si>
    <t>Se requiere n° de líneas por SKU, no solo unidades despachadas</t>
  </si>
  <si>
    <t>4. VARIABLES ADICIONALES QUE DEBERÍAN SOLICITARSE A INCHCAPE</t>
  </si>
  <si>
    <t>VARIABLE SOLICITADA</t>
  </si>
  <si>
    <t>POR QUÉ ES NECESARIA — QUÉ LIMITACIÓN ACTUAL RESUELVE</t>
  </si>
  <si>
    <t>PRIORIDAD</t>
  </si>
  <si>
    <t>Líneas de pedido por SKU (frecuencia de visita)</t>
  </si>
  <si>
    <t>Es la variable más crítica que falta. El slotting se optimiza por número de visitas a la ubicación, no por unidades despachadas. La hoja PEDIDOS ACTUAL contiene 1,500 registros de pedidos que podrían permitir derivar esta frecuencia si se confirma su estructura y trazabilidad al SKU.</t>
  </si>
  <si>
    <t>CRÍTICA</t>
  </si>
  <si>
    <t>Serie mensual de rotación (24 meses)</t>
  </si>
  <si>
    <t>Permite separar demanda estructural de picos estacionales y detectar SKU en fase de declive o lanzamiento. Sin esta serie, cualquier reslotting se ancla a una foto semestral y no a una tendencia. Habilita además un ABC dinámico con revisión trimestral.</t>
  </si>
  <si>
    <t>Afinidad entre SKU (co-ocurrencia en pedidos)</t>
  </si>
  <si>
    <t>Los SKU que se piden juntos deben almacenarse juntos para reducir el recorrido total de la ruta de picking, no solo el tiempo de acceso individual. Sin análisis de canasta, el reslotting optimiza SKU aislados e ignora la ruta completa, que es donde reside el mayor ahorro en CD de repuestos.</t>
  </si>
  <si>
    <t>ALTA</t>
  </si>
  <si>
    <t>Costo de mano de obra por minuto de picking</t>
  </si>
  <si>
    <t>Convierte los 33,015 min-pick de ahorro identificado en un beneficio económico expresado en soles, condición indispensable para construir el caso de negocio y comparar el ahorro contra el costo de ejecutar los movimientos.</t>
  </si>
  <si>
    <t>Capacidad por ubicación individual y reglas de almacenaje</t>
  </si>
  <si>
    <t>El layout entrega capacidad agregada por zona (m³), pero el reslotting se ejecuta a nivel de ubicación específica. Se requiere el detalle de posiciones, límites de peso por nivel de rack, restricciones de altura y compatibilidad de producto (p. ej. lubricantes y su tratamiento como material inflamable).</t>
  </si>
  <si>
    <t>Costo de ejecución del movimiento por SKU</t>
  </si>
  <si>
    <t>Mover un SKU tiene un costo puntual (mano de obra, equipo, riesgo de error de inventario). Sin este dato no puede calcularse el periodo de recuperación de cada reubicación ni definirse un umbral mínimo de ahorro que justifique el movimiento.</t>
  </si>
  <si>
    <t>MEDIA</t>
  </si>
  <si>
    <t>Cobertura de stock y política de reposición</t>
  </si>
  <si>
    <t>Determina cuánto espacio necesita reservarse por SKU de forma sostenida. La ocupación del 0.98% observada refleja una foto puntual de inventario; sin conocer los niveles máximos de reposición, el dimensionamiento de las ubicaciones premium sería incorrecto.</t>
  </si>
  <si>
    <t>Ubicación física exacta y coordenadas de recorrido</t>
  </si>
  <si>
    <t>El tiempo de acceso disponible es un promedio por zona. Para un motor de reslotting real se necesita la distancia y el tiempo por posición individual, junto con el trazado de pasillos, a fin de calcular rutas y no solo accesos punto a punto.</t>
  </si>
  <si>
    <t>5. PREGUNTAS PARA LA REUNIÓN CON EL EXPERTO LOGÍSTICO</t>
  </si>
  <si>
    <t>ÁMBITO</t>
  </si>
  <si>
    <t>PREGUNTA — DERIVADA DE UN HALLAZGO CONCRETO DEL DATASET</t>
  </si>
  <si>
    <t>HIPÓTESIS A VALIDAR</t>
  </si>
  <si>
    <t>Criterio de slotting vigente</t>
  </si>
  <si>
    <t>La correlación entre rotación y tiempo de acceso es -0.068, es decir, nula. ¿Existe hoy una política formal de asignación de ubicaciones, o el slotting se ha construido históricamente por disponibilidad de espacio al momento de la recepción?</t>
  </si>
  <si>
    <t>El slotting responde a disponibilidad, no a diseño</t>
  </si>
  <si>
    <t>Zona LLANTAS</t>
  </si>
  <si>
    <t>LLANTAS concentra 32,924 min-pick (la cifra más alta del CD) con solo 15 SKU y 8.04 min de acceso. ¿Es una zona físicamente dedicada por dimensión del producto, o podrían reubicarse esos SKU de clase A a zonas más cercanas?</t>
  </si>
  <si>
    <t>La restricción es dimensional y no reubicable</t>
  </si>
  <si>
    <t>Zona LATERALES</t>
  </si>
  <si>
    <t>LATERALES aparece en el layout con 220 m³ y 5.63 min de acceso, pero sin ningún SKU asignado en la muestra. ¿Está realmente vacía, se usa para otra categoría fuera del alcance del dataset, o está inhabilitada?</t>
  </si>
  <si>
    <t>Existe capacidad disponible no considerada</t>
  </si>
  <si>
    <t>Definición del ABC</t>
  </si>
  <si>
    <t>La clase A agrupa 39 SKU pero explica solo el 55.0% de la rotación. ¿Cómo se definió el corte ABC actual: por unidades, por facturación, por margen, o por criterio comercial? ¿Con qué frecuencia se recalcula?</t>
  </si>
  <si>
    <t>El ABC no está optimizado para decisiones de slotting</t>
  </si>
  <si>
    <t>Ocupación volumétrica</t>
  </si>
  <si>
    <t>La muestra ocupa 0.98% de la capacidad instalada. ¿Es esta cifra representativa de la ocupación real del CD, o el dataset refleja un nivel de stock atípicamente bajo? ¿Cuál es la ocupación habitual por zona?</t>
  </si>
  <si>
    <t>El espacio no es la restricción del reslotting</t>
  </si>
  <si>
    <t>Restricciones de manipulación</t>
  </si>
  <si>
    <t>24 SKU superan los 40 kg, con un máximo de 49.3 kg. ¿Qué límites de peso rigen por nivel de rack y por MEZANNINE? ¿Hay SKU que no puedan ubicarse a nivel de piso por normativa o por requerimiento de equipo de manejo?</t>
  </si>
  <si>
    <t>Las restricciones físicas limitan el universo reubicable</t>
  </si>
  <si>
    <t>Estructura de pedidos</t>
  </si>
  <si>
    <t>La hoja PEDIDOS ACTUAL contiene 1,500 registros. ¿Es posible trazar cada línea a un SKU del maestro para derivar frecuencia de visita y afinidad entre productos? Esa es la variable de mayor impacto que falta hoy.</t>
  </si>
  <si>
    <t>La frecuencia de picking difiere del volumen despachado</t>
  </si>
  <si>
    <t>Ventana de ejecución</t>
  </si>
  <si>
    <t>El reslotting propuesto implica 18 movimientos prioritarios. ¿Existe una ventana operativa (fin de semana, inventario cíclico) para ejecutarlos sin interrumpir el despacho? ¿Qué volumen de movimientos es absorbible por periodo?</t>
  </si>
  <si>
    <t>La capacidad de ejecución condiciona el plan de despliegue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</si>
</sst>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numFmt numFmtId="167" formatCode="0.0%"/>
  </numFmts>
  <fonts count="31" x14ac:knownFonts="1">
    <font>
      <sz val="11"/>
      <color theme="1"/>
      <name val="Calibri"/>
      <family val="2"/>
      <scheme val="minor"/>
    </font>
    <font>
      <b/>
      <sz val="28"/>
      <color rgb="FF00B8D4"/>
      <name val="Calibri"/>
    </font>
    <font>
      <sz val="11"/>
      <color rgb="FFFFD700"/>
      <name val="Calibri"/>
    </font>
    <font>
      <b/>
      <sz val="11"/>
      <color rgb="FFFFFFFF"/>
      <name val="Calibri"/>
    </font>
    <font>
      <b/>
      <sz val="9"/>
      <color rgb="FFFFFFFF"/>
      <name val="Calibri"/>
    </font>
    <font>
      <b/>
      <sz val="11"/>
      <name val="Calibri"/>
    </font>
    <font>
      <b/>
      <sz val="12"/>
      <color rgb="FFFFFFFF"/>
      <name val="Calibri"/>
    </font>
    <font>
      <i/>
      <sz val="9"/>
      <name val="Calibri"/>
    </font>
    <font>
      <b/>
      <sz val="11"/>
      <color theme="1"/>
      <name val="Calibri"/>
      <family val="2"/>
      <scheme val="minor"/>
    </font>
    <font>
      <sz val="11"/>
      <color rgb="FF1F3864"/>
      <name val="Calibri"/>
      <family val="2"/>
      <scheme val="minor"/>
    </font>
    <font>
      <b/>
      <sz val="13"/>
      <color rgb="FF1F3864"/>
      <name val="Calibri"/>
      <family val="2"/>
      <scheme val="minor"/>
    </font>
    <font>
      <i/>
      <sz val="9"/>
      <color rgb="FF595959"/>
      <name val="Calibri"/>
      <family val="2"/>
      <scheme val="minor"/>
    </font>
    <font>
      <b/>
      <sz val="11"/>
      <color rgb="FFFFFFFF"/>
      <name val="Calibri"/>
      <family val="2"/>
      <scheme val="minor"/>
    </font>
    <font>
      <b/>
      <sz val="11"/>
      <color rgb="FF0000FF"/>
      <name val="Calibri"/>
      <family val="2"/>
      <scheme val="minor"/>
    </font>
    <font>
      <sz val="9"/>
      <color theme="1"/>
      <name val="Calibri"/>
      <family val="2"/>
      <scheme val="minor"/>
    </font>
    <font>
      <i/>
      <sz val="9"/>
      <color theme="1"/>
      <name val="Calibri"/>
      <family val="2"/>
      <scheme val="minor"/>
    </font>
    <font>
      <b/>
      <sz val="10"/>
      <color rgb="FFFFFFFF"/>
      <name val="Calibri"/>
      <family val="2"/>
      <scheme val="minor"/>
    </font>
    <font>
      <sz val="10"/>
      <color theme="1"/>
      <name val="Calibri"/>
      <family val="2"/>
      <scheme val="minor"/>
    </font>
    <font>
      <b/>
      <sz val="16"/>
      <color rgb="FFFFFFFF"/>
      <name val="Calibri"/>
      <family val="2"/>
      <scheme val="minor"/>
    </font>
    <font>
      <sz val="10"/>
      <color rgb="FFFFFFFF"/>
      <name val="Calibri"/>
      <family val="2"/>
      <scheme val="minor"/>
    </font>
    <font>
      <b/>
      <sz val="11"/>
      <color rgb="FF808080"/>
      <name val="Calibri"/>
      <family val="2"/>
      <scheme val="minor"/>
    </font>
    <font>
      <b/>
      <sz val="12"/>
      <color rgb="FFFFFFFF"/>
      <name val="Calibri"/>
      <family val="2"/>
      <scheme val="minor"/>
    </font>
    <font>
      <b/>
      <sz val="10"/>
      <color rgb="FF1F3864"/>
      <name val="Calibri"/>
      <family val="2"/>
      <scheme val="minor"/>
    </font>
    <font>
      <b/>
      <sz val="10"/>
      <color rgb="FFC00000"/>
      <name val="Calibri"/>
      <family val="2"/>
      <scheme val="minor"/>
    </font>
    <font>
      <b/>
      <sz val="10"/>
      <color rgb="FF375623"/>
      <name val="Calibri"/>
      <family val="2"/>
      <scheme val="minor"/>
    </font>
    <font>
      <b/>
      <sz val="20"/>
      <color rgb="FFFFFFFF"/>
      <name val="Calibri"/>
      <family val="2"/>
      <scheme val="minor"/>
    </font>
    <font>
      <b/>
      <sz val="11"/>
      <color rgb="FFC00000"/>
      <name val="Calibri"/>
      <family val="2"/>
      <scheme val="minor"/>
    </font>
    <font>
      <b/>
      <sz val="13"/>
      <color rgb="FFFFFFFF"/>
      <name val="Calibri"/>
      <family val="2"/>
      <scheme val="minor"/>
    </font>
    <font>
      <b/>
      <sz val="10"/>
      <color theme="1"/>
      <name val="Calibri"/>
      <family val="2"/>
      <scheme val="minor"/>
    </font>
    <font>
      <b/>
      <sz val="10"/>
      <color rgb="FF000000"/>
      <name val="Calibri"/>
      <family val="2"/>
      <scheme val="minor"/>
    </font>
    <font>
      <i/>
      <sz val="10"/>
      <color theme="1"/>
      <name val="Calibri"/>
      <family val="2"/>
      <scheme val="minor"/>
    </font>
  </fonts>
  <fills count="25">
    <fill>
      <patternFill patternType="none"/>
    </fill>
    <fill>
      <patternFill patternType="gray125"/>
    </fill>
    <fill>
      <patternFill patternType="solid">
        <fgColor rgb="FF0A1929"/>
        <bgColor rgb="FF0A1929"/>
      </patternFill>
    </fill>
    <fill>
      <patternFill patternType="solid">
        <fgColor rgb="FF00B8D4"/>
        <bgColor rgb="FF00B8D4"/>
      </patternFill>
    </fill>
    <fill>
      <patternFill patternType="solid">
        <fgColor rgb="FFFFE699"/>
        <bgColor rgb="FFFFE699"/>
      </patternFill>
    </fill>
    <fill>
      <patternFill patternType="solid">
        <fgColor rgb="FFFFD700"/>
        <bgColor rgb="FFFFD700"/>
      </patternFill>
    </fill>
    <fill>
      <patternFill patternType="solid">
        <fgColor rgb="FFF0F0F0"/>
        <bgColor rgb="FFF0F0F0"/>
      </patternFill>
    </fill>
    <fill>
      <patternFill patternType="solid">
        <fgColor theme="3" tint="-0.499984740745262"/>
        <bgColor rgb="FF00AA00"/>
      </patternFill>
    </fill>
    <fill>
      <patternFill patternType="solid">
        <fgColor theme="3" tint="-0.499984740745262"/>
        <bgColor indexed="64"/>
      </patternFill>
    </fill>
    <fill>
      <patternFill patternType="solid">
        <fgColor rgb="FF1F3864"/>
        <bgColor indexed="64"/>
      </patternFill>
    </fill>
    <fill>
      <patternFill patternType="solid">
        <fgColor rgb="FFC00000"/>
        <bgColor indexed="64"/>
      </patternFill>
    </fill>
    <fill>
      <patternFill patternType="solid">
        <fgColor rgb="FFFFFF00"/>
        <bgColor indexed="64"/>
      </patternFill>
    </fill>
    <fill>
      <patternFill patternType="solid">
        <fgColor rgb="FFED7D31"/>
        <bgColor indexed="64"/>
      </patternFill>
    </fill>
    <fill>
      <patternFill patternType="solid">
        <fgColor rgb="FFA6A6A6"/>
        <bgColor indexed="64"/>
      </patternFill>
    </fill>
    <fill>
      <patternFill patternType="solid">
        <fgColor rgb="FF375623"/>
        <bgColor indexed="64"/>
      </patternFill>
    </fill>
    <fill>
      <patternFill patternType="solid">
        <fgColor rgb="FFFCE4E4"/>
        <bgColor indexed="64"/>
      </patternFill>
    </fill>
    <fill>
      <patternFill patternType="solid">
        <fgColor rgb="FFFFF2CC"/>
        <bgColor indexed="64"/>
      </patternFill>
    </fill>
    <fill>
      <patternFill patternType="solid">
        <fgColor rgb="FF2E5496"/>
        <bgColor indexed="64"/>
      </patternFill>
    </fill>
    <fill>
      <patternFill patternType="solid">
        <fgColor rgb="FFF2F2F2"/>
        <bgColor indexed="64"/>
      </patternFill>
    </fill>
    <fill>
      <patternFill patternType="solid">
        <fgColor rgb="FFE8F0E0"/>
        <bgColor indexed="64"/>
      </patternFill>
    </fill>
    <fill>
      <patternFill patternType="solid">
        <fgColor rgb="FF548235"/>
        <bgColor indexed="64"/>
      </patternFill>
    </fill>
    <fill>
      <patternFill patternType="solid">
        <fgColor rgb="FFE06666"/>
        <bgColor indexed="64"/>
      </patternFill>
    </fill>
    <fill>
      <patternFill patternType="solid">
        <fgColor rgb="FF7030A0"/>
        <bgColor indexed="64"/>
      </patternFill>
    </fill>
    <fill>
      <patternFill patternType="solid">
        <fgColor rgb="FF9966CC"/>
        <bgColor indexed="64"/>
      </patternFill>
    </fill>
    <fill>
      <patternFill patternType="solid">
        <fgColor rgb="FFFFD966"/>
        <bgColor indexed="64"/>
      </patternFill>
    </fill>
  </fills>
  <borders count="26">
    <border>
      <left/>
      <right/>
      <top/>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style="thin">
        <color rgb="FFD9D9D9"/>
      </right>
      <top style="thin">
        <color rgb="FFD9D9D9"/>
      </top>
      <bottom style="thin">
        <color rgb="FF1F3864"/>
      </bottom>
      <diagonal/>
    </border>
    <border>
      <left style="thin">
        <color rgb="FFD9D9D9"/>
      </left>
      <right style="thin">
        <color rgb="FFD9D9D9"/>
      </right>
      <top style="thin">
        <color rgb="FFD9D9D9"/>
      </top>
      <bottom style="thin">
        <color rgb="FF1F3864"/>
      </bottom>
      <diagonal/>
    </border>
    <border>
      <left style="thin">
        <color rgb="FFD9D9D9"/>
      </left>
      <right/>
      <top style="thin">
        <color rgb="FFD9D9D9"/>
      </top>
      <bottom style="thin">
        <color rgb="FF1F3864"/>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ck">
        <color rgb="FFC00000"/>
      </left>
      <right/>
      <top/>
      <bottom/>
      <diagonal/>
    </border>
    <border>
      <left/>
      <right style="thin">
        <color rgb="FFBFBFBF"/>
      </right>
      <top style="thin">
        <color rgb="FFBFBFBF"/>
      </top>
      <bottom style="thin">
        <color rgb="FF808080"/>
      </bottom>
      <diagonal/>
    </border>
    <border>
      <left style="thin">
        <color rgb="FFBFBFBF"/>
      </left>
      <right style="thin">
        <color rgb="FFBFBFBF"/>
      </right>
      <top style="thin">
        <color rgb="FFBFBFBF"/>
      </top>
      <bottom style="thin">
        <color rgb="FF808080"/>
      </bottom>
      <diagonal/>
    </border>
    <border>
      <left style="thin">
        <color rgb="FFBFBFBF"/>
      </left>
      <right/>
      <top style="thin">
        <color rgb="FFBFBFBF"/>
      </top>
      <bottom style="thin">
        <color rgb="FF808080"/>
      </bottom>
      <diagonal/>
    </border>
  </borders>
  <cellStyleXfs count="1">
    <xf numFmtId="0" fontId="0" fillId="0" borderId="0"/>
  </cellStyleXfs>
  <cellXfs count="180">
    <xf numFmtId="0" fontId="0" fillId="0" borderId="0" xfId="0"/>
    <xf numFmtId="0" fontId="0" fillId="2" borderId="0" xfId="0" applyFill="1"/>
    <xf numFmtId="0" fontId="5" fillId="5" borderId="0" xfId="0" applyFont="1" applyFill="1"/>
    <xf numFmtId="0" fontId="3" fillId="2" borderId="0" xfId="0" applyFont="1" applyFill="1" applyAlignment="1">
      <alignment horizontal="center"/>
    </xf>
    <xf numFmtId="0" fontId="0" fillId="0" borderId="0" xfId="0" applyAlignment="1">
      <alignment horizontal="center"/>
    </xf>
    <xf numFmtId="0" fontId="0" fillId="6" borderId="0" xfId="0" applyFill="1" applyAlignment="1">
      <alignment horizontal="center"/>
    </xf>
    <xf numFmtId="0" fontId="3" fillId="2" borderId="0" xfId="0" applyFont="1" applyFill="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0" fontId="4" fillId="3" borderId="0" xfId="0" applyFont="1" applyFill="1" applyAlignment="1">
      <alignment horizontal="center" vertical="center"/>
    </xf>
    <xf numFmtId="0" fontId="0" fillId="0" borderId="0" xfId="0" applyAlignment="1">
      <alignment vertical="center"/>
    </xf>
    <xf numFmtId="2" fontId="0" fillId="0" borderId="0" xfId="0" applyNumberFormat="1" applyAlignment="1">
      <alignment vertical="center"/>
    </xf>
    <xf numFmtId="164" fontId="0" fillId="0" borderId="0" xfId="0" applyNumberFormat="1" applyAlignment="1">
      <alignment vertical="center"/>
    </xf>
    <xf numFmtId="164" fontId="0" fillId="4" borderId="0" xfId="0" applyNumberFormat="1" applyFill="1" applyAlignment="1">
      <alignment vertical="center"/>
    </xf>
    <xf numFmtId="0" fontId="3" fillId="5" borderId="0" xfId="0" applyFont="1" applyFill="1" applyAlignment="1">
      <alignment horizontal="center" vertical="center"/>
    </xf>
    <xf numFmtId="0" fontId="3" fillId="2" borderId="0" xfId="0" applyFont="1" applyFill="1"/>
    <xf numFmtId="0" fontId="1" fillId="2" borderId="0" xfId="0" applyFont="1" applyFill="1" applyAlignment="1">
      <alignment horizontal="center" vertical="center"/>
    </xf>
    <xf numFmtId="0" fontId="0" fillId="0" borderId="0" xfId="0"/>
    <xf numFmtId="0" fontId="2" fillId="2" borderId="0" xfId="0" applyFont="1" applyFill="1" applyAlignment="1">
      <alignment horizontal="center"/>
    </xf>
    <xf numFmtId="0" fontId="6" fillId="7" borderId="0" xfId="0" applyFont="1" applyFill="1" applyAlignment="1">
      <alignment horizontal="center"/>
    </xf>
    <xf numFmtId="0" fontId="0" fillId="8" borderId="0" xfId="0" applyFill="1" applyAlignment="1">
      <alignment horizontal="center"/>
    </xf>
    <xf numFmtId="0" fontId="7" fillId="0" borderId="0" xfId="0" applyFont="1" applyAlignment="1">
      <alignment horizontal="center"/>
    </xf>
    <xf numFmtId="0" fontId="0" fillId="0" borderId="0" xfId="0" applyAlignment="1">
      <alignment horizontal="center"/>
    </xf>
    <xf numFmtId="0" fontId="10" fillId="0" borderId="0" xfId="0" applyFont="1"/>
    <xf numFmtId="0" fontId="11" fillId="0" borderId="0" xfId="0" applyFont="1"/>
    <xf numFmtId="0" fontId="13" fillId="0" borderId="0" xfId="0" applyFont="1" applyAlignment="1">
      <alignment horizontal="center"/>
    </xf>
    <xf numFmtId="0" fontId="15" fillId="0" borderId="0" xfId="0" applyFont="1"/>
    <xf numFmtId="0" fontId="15" fillId="11" borderId="0" xfId="0" applyFont="1" applyFill="1"/>
    <xf numFmtId="0" fontId="12" fillId="9" borderId="2" xfId="0" applyFont="1" applyFill="1" applyBorder="1" applyAlignment="1">
      <alignment horizontal="center"/>
    </xf>
    <xf numFmtId="0" fontId="12" fillId="10" borderId="3" xfId="0" applyFont="1" applyFill="1" applyBorder="1" applyAlignment="1">
      <alignment horizontal="center"/>
    </xf>
    <xf numFmtId="0" fontId="0" fillId="0" borderId="4" xfId="0" applyBorder="1"/>
    <xf numFmtId="0" fontId="0" fillId="0" borderId="5" xfId="0" applyBorder="1"/>
    <xf numFmtId="3" fontId="0" fillId="0" borderId="5" xfId="0" applyNumberFormat="1" applyBorder="1"/>
    <xf numFmtId="0" fontId="0" fillId="0" borderId="5" xfId="0" applyBorder="1" applyAlignment="1">
      <alignment horizontal="center"/>
    </xf>
    <xf numFmtId="2" fontId="0" fillId="0" borderId="5" xfId="0" applyNumberFormat="1" applyBorder="1"/>
    <xf numFmtId="165" fontId="0" fillId="0" borderId="5" xfId="0" applyNumberFormat="1" applyBorder="1"/>
    <xf numFmtId="166" fontId="0" fillId="0" borderId="5" xfId="0" applyNumberFormat="1" applyBorder="1"/>
    <xf numFmtId="0" fontId="0" fillId="0" borderId="6" xfId="0" applyBorder="1" applyAlignment="1">
      <alignment horizontal="center"/>
    </xf>
    <xf numFmtId="0" fontId="0" fillId="0" borderId="7" xfId="0" applyBorder="1"/>
    <xf numFmtId="0" fontId="0" fillId="0" borderId="8" xfId="0" applyBorder="1"/>
    <xf numFmtId="3" fontId="0" fillId="0" borderId="8" xfId="0" applyNumberFormat="1" applyBorder="1"/>
    <xf numFmtId="0" fontId="0" fillId="0" borderId="8" xfId="0" applyBorder="1" applyAlignment="1">
      <alignment horizontal="center"/>
    </xf>
    <xf numFmtId="2" fontId="0" fillId="0" borderId="8" xfId="0" applyNumberFormat="1" applyBorder="1"/>
    <xf numFmtId="165" fontId="0" fillId="0" borderId="8" xfId="0" applyNumberFormat="1" applyBorder="1"/>
    <xf numFmtId="166" fontId="0" fillId="0" borderId="8" xfId="0" applyNumberFormat="1" applyBorder="1"/>
    <xf numFmtId="0" fontId="0" fillId="0" borderId="9" xfId="0" applyBorder="1" applyAlignment="1">
      <alignment horizontal="center"/>
    </xf>
    <xf numFmtId="0" fontId="12" fillId="9" borderId="1" xfId="0" applyFont="1" applyFill="1" applyBorder="1" applyAlignment="1">
      <alignment horizontal="center" wrapText="1"/>
    </xf>
    <xf numFmtId="0" fontId="12" fillId="9" borderId="2" xfId="0" applyFont="1" applyFill="1" applyBorder="1" applyAlignment="1">
      <alignment horizontal="center" wrapText="1"/>
    </xf>
    <xf numFmtId="0" fontId="12" fillId="10" borderId="3" xfId="0" applyFont="1" applyFill="1" applyBorder="1" applyAlignment="1">
      <alignment horizontal="center" wrapText="1"/>
    </xf>
    <xf numFmtId="0" fontId="8" fillId="0" borderId="0" xfId="0" applyFont="1"/>
    <xf numFmtId="0" fontId="12" fillId="10" borderId="0" xfId="0" applyFont="1" applyFill="1"/>
    <xf numFmtId="0" fontId="8" fillId="16" borderId="0" xfId="0" applyFont="1" applyFill="1"/>
    <xf numFmtId="3" fontId="8" fillId="16" borderId="0" xfId="0" applyNumberFormat="1" applyFont="1" applyFill="1"/>
    <xf numFmtId="0" fontId="12" fillId="9" borderId="1" xfId="0" applyFont="1" applyFill="1" applyBorder="1"/>
    <xf numFmtId="0" fontId="12" fillId="9" borderId="3" xfId="0" applyFont="1" applyFill="1" applyBorder="1" applyAlignment="1">
      <alignment horizontal="center"/>
    </xf>
    <xf numFmtId="167" fontId="0" fillId="0" borderId="5" xfId="0" applyNumberFormat="1" applyBorder="1"/>
    <xf numFmtId="167" fontId="0" fillId="0" borderId="6" xfId="0" applyNumberFormat="1" applyBorder="1"/>
    <xf numFmtId="0" fontId="8" fillId="0" borderId="10" xfId="0" applyFont="1" applyBorder="1"/>
    <xf numFmtId="3" fontId="8" fillId="0" borderId="11" xfId="0" applyNumberFormat="1" applyFont="1" applyBorder="1"/>
    <xf numFmtId="167" fontId="8" fillId="0" borderId="11" xfId="0" applyNumberFormat="1" applyFont="1" applyBorder="1"/>
    <xf numFmtId="167" fontId="8" fillId="0" borderId="12" xfId="0" applyNumberFormat="1" applyFont="1" applyBorder="1"/>
    <xf numFmtId="3" fontId="0" fillId="0" borderId="6" xfId="0" applyNumberFormat="1" applyBorder="1"/>
    <xf numFmtId="0" fontId="0" fillId="0" borderId="10" xfId="0" applyBorder="1"/>
    <xf numFmtId="166" fontId="0" fillId="0" borderId="11" xfId="0" applyNumberFormat="1" applyBorder="1"/>
    <xf numFmtId="3" fontId="0" fillId="0" borderId="11" xfId="0" applyNumberFormat="1" applyBorder="1"/>
    <xf numFmtId="3" fontId="0" fillId="0" borderId="12" xfId="0" applyNumberFormat="1" applyBorder="1"/>
    <xf numFmtId="4" fontId="0" fillId="0" borderId="5" xfId="0" applyNumberFormat="1" applyBorder="1"/>
    <xf numFmtId="10" fontId="0" fillId="0" borderId="5" xfId="0" applyNumberFormat="1" applyBorder="1"/>
    <xf numFmtId="0" fontId="0" fillId="0" borderId="11" xfId="0" applyBorder="1"/>
    <xf numFmtId="2" fontId="0" fillId="0" borderId="11" xfId="0" applyNumberFormat="1" applyBorder="1"/>
    <xf numFmtId="4" fontId="0" fillId="0" borderId="11" xfId="0" applyNumberFormat="1" applyBorder="1"/>
    <xf numFmtId="10" fontId="0" fillId="0" borderId="11" xfId="0" applyNumberFormat="1" applyBorder="1"/>
    <xf numFmtId="2" fontId="0" fillId="0" borderId="6" xfId="0" applyNumberFormat="1" applyBorder="1"/>
    <xf numFmtId="167" fontId="0" fillId="0" borderId="11" xfId="0" applyNumberFormat="1" applyBorder="1"/>
    <xf numFmtId="2" fontId="0" fillId="0" borderId="12" xfId="0" applyNumberFormat="1" applyBorder="1"/>
    <xf numFmtId="165" fontId="0" fillId="0" borderId="11" xfId="0" applyNumberFormat="1" applyBorder="1"/>
    <xf numFmtId="167" fontId="0" fillId="0" borderId="12" xfId="0" applyNumberFormat="1" applyBorder="1"/>
    <xf numFmtId="0" fontId="12" fillId="9" borderId="1" xfId="0" applyFont="1" applyFill="1" applyBorder="1" applyAlignment="1">
      <alignment wrapText="1"/>
    </xf>
    <xf numFmtId="0" fontId="12" fillId="10" borderId="2" xfId="0" applyFont="1" applyFill="1" applyBorder="1" applyAlignment="1">
      <alignment horizontal="center" wrapText="1"/>
    </xf>
    <xf numFmtId="0" fontId="12" fillId="12" borderId="2" xfId="0" applyFont="1" applyFill="1" applyBorder="1" applyAlignment="1">
      <alignment horizontal="center" wrapText="1"/>
    </xf>
    <xf numFmtId="0" fontId="12" fillId="13" borderId="2" xfId="0" applyFont="1" applyFill="1" applyBorder="1" applyAlignment="1">
      <alignment horizontal="center" wrapText="1"/>
    </xf>
    <xf numFmtId="0" fontId="12" fillId="9" borderId="3" xfId="0" applyFont="1" applyFill="1" applyBorder="1" applyAlignment="1">
      <alignment horizontal="center" wrapText="1"/>
    </xf>
    <xf numFmtId="0" fontId="12" fillId="14" borderId="2" xfId="0" applyFont="1" applyFill="1" applyBorder="1" applyAlignment="1">
      <alignment horizontal="center" wrapText="1"/>
    </xf>
    <xf numFmtId="0" fontId="12" fillId="14" borderId="3" xfId="0" applyFont="1" applyFill="1" applyBorder="1" applyAlignment="1">
      <alignment horizontal="center" wrapText="1"/>
    </xf>
    <xf numFmtId="0" fontId="16" fillId="14" borderId="1" xfId="0" applyFont="1" applyFill="1" applyBorder="1"/>
    <xf numFmtId="0" fontId="16" fillId="14" borderId="3" xfId="0" applyFont="1" applyFill="1" applyBorder="1" applyAlignment="1">
      <alignment horizontal="center"/>
    </xf>
    <xf numFmtId="0" fontId="17" fillId="0" borderId="4" xfId="0" applyFont="1" applyBorder="1"/>
    <xf numFmtId="2" fontId="17" fillId="0" borderId="6" xfId="0" applyNumberFormat="1" applyFont="1" applyBorder="1"/>
    <xf numFmtId="3" fontId="17" fillId="0" borderId="6" xfId="0" applyNumberFormat="1" applyFont="1" applyBorder="1"/>
    <xf numFmtId="167" fontId="17" fillId="0" borderId="6" xfId="0" applyNumberFormat="1" applyFont="1" applyBorder="1"/>
    <xf numFmtId="165" fontId="17" fillId="0" borderId="6" xfId="0" applyNumberFormat="1" applyFont="1" applyBorder="1"/>
    <xf numFmtId="0" fontId="17" fillId="0" borderId="10" xfId="0" applyFont="1" applyBorder="1"/>
    <xf numFmtId="3" fontId="17" fillId="0" borderId="12" xfId="0" applyNumberFormat="1" applyFont="1" applyBorder="1"/>
    <xf numFmtId="0" fontId="20" fillId="0" borderId="0" xfId="0" applyFont="1"/>
    <xf numFmtId="0" fontId="18" fillId="9" borderId="0" xfId="0" applyFont="1" applyFill="1"/>
    <xf numFmtId="0" fontId="18" fillId="9" borderId="0" xfId="0" applyFont="1" applyFill="1" applyAlignment="1">
      <alignment vertical="center"/>
    </xf>
    <xf numFmtId="0" fontId="19" fillId="17" borderId="0" xfId="0" applyFont="1" applyFill="1"/>
    <xf numFmtId="0" fontId="19" fillId="17" borderId="0" xfId="0" applyFont="1" applyFill="1" applyAlignment="1">
      <alignment vertical="center"/>
    </xf>
    <xf numFmtId="0" fontId="11" fillId="0" borderId="0" xfId="0" applyFont="1"/>
    <xf numFmtId="0" fontId="21" fillId="9" borderId="0" xfId="0" applyFont="1" applyFill="1"/>
    <xf numFmtId="0" fontId="21" fillId="9" borderId="0" xfId="0" applyFont="1" applyFill="1" applyAlignment="1">
      <alignment vertical="center"/>
    </xf>
    <xf numFmtId="0" fontId="22" fillId="0" borderId="0" xfId="0" applyFont="1"/>
    <xf numFmtId="0" fontId="23" fillId="0" borderId="0" xfId="0" applyFont="1"/>
    <xf numFmtId="0" fontId="24" fillId="0" borderId="0" xfId="0" applyFont="1"/>
    <xf numFmtId="0" fontId="17" fillId="18" borderId="0" xfId="0" applyFont="1" applyFill="1" applyAlignment="1">
      <alignment vertical="top" wrapText="1"/>
    </xf>
    <xf numFmtId="0" fontId="17" fillId="15" borderId="0" xfId="0" applyFont="1" applyFill="1" applyAlignment="1">
      <alignment vertical="top" wrapText="1"/>
    </xf>
    <xf numFmtId="0" fontId="17" fillId="19" borderId="0" xfId="0" applyFont="1" applyFill="1" applyAlignment="1">
      <alignment vertical="top" wrapText="1"/>
    </xf>
    <xf numFmtId="0" fontId="12" fillId="9" borderId="13" xfId="0" applyFont="1" applyFill="1" applyBorder="1" applyAlignment="1">
      <alignment wrapText="1"/>
    </xf>
    <xf numFmtId="0" fontId="12" fillId="9" borderId="14" xfId="0" applyFont="1" applyFill="1" applyBorder="1" applyAlignment="1">
      <alignment wrapText="1"/>
    </xf>
    <xf numFmtId="0" fontId="12" fillId="9" borderId="14" xfId="0" applyFont="1" applyFill="1" applyBorder="1" applyAlignment="1">
      <alignment horizontal="center" wrapText="1"/>
    </xf>
    <xf numFmtId="0" fontId="12" fillId="9" borderId="15" xfId="0" applyFont="1" applyFill="1" applyBorder="1" applyAlignment="1">
      <alignment horizontal="center" wrapText="1"/>
    </xf>
    <xf numFmtId="0" fontId="0" fillId="0" borderId="16" xfId="0" applyBorder="1"/>
    <xf numFmtId="0" fontId="0" fillId="0" borderId="17" xfId="0" applyBorder="1"/>
    <xf numFmtId="3" fontId="0" fillId="0" borderId="17" xfId="0" applyNumberFormat="1" applyBorder="1" applyAlignment="1">
      <alignment horizontal="center"/>
    </xf>
    <xf numFmtId="167" fontId="0" fillId="0" borderId="17" xfId="0" applyNumberFormat="1" applyBorder="1" applyAlignment="1">
      <alignment horizontal="center"/>
    </xf>
    <xf numFmtId="2" fontId="0" fillId="0" borderId="17" xfId="0" applyNumberFormat="1" applyBorder="1" applyAlignment="1">
      <alignment horizontal="center"/>
    </xf>
    <xf numFmtId="3" fontId="0" fillId="0" borderId="18" xfId="0" applyNumberFormat="1" applyBorder="1" applyAlignment="1">
      <alignment horizontal="center"/>
    </xf>
    <xf numFmtId="0" fontId="0" fillId="0" borderId="19" xfId="0" applyBorder="1"/>
    <xf numFmtId="0" fontId="0" fillId="0" borderId="20" xfId="0" applyBorder="1"/>
    <xf numFmtId="3" fontId="0" fillId="0" borderId="20" xfId="0" applyNumberFormat="1" applyBorder="1" applyAlignment="1">
      <alignment horizontal="center"/>
    </xf>
    <xf numFmtId="167" fontId="0" fillId="0" borderId="20" xfId="0" applyNumberFormat="1" applyBorder="1" applyAlignment="1">
      <alignment horizontal="center"/>
    </xf>
    <xf numFmtId="2" fontId="0" fillId="0" borderId="20" xfId="0" applyNumberFormat="1" applyBorder="1" applyAlignment="1">
      <alignment horizontal="center"/>
    </xf>
    <xf numFmtId="3" fontId="0" fillId="0" borderId="21" xfId="0" applyNumberFormat="1" applyBorder="1" applyAlignment="1">
      <alignment horizontal="center"/>
    </xf>
    <xf numFmtId="0" fontId="12" fillId="10" borderId="14" xfId="0" applyFont="1" applyFill="1" applyBorder="1" applyAlignment="1">
      <alignment horizontal="center" wrapText="1"/>
    </xf>
    <xf numFmtId="0" fontId="12" fillId="12" borderId="14" xfId="0" applyFont="1" applyFill="1" applyBorder="1" applyAlignment="1">
      <alignment horizontal="center" wrapText="1"/>
    </xf>
    <xf numFmtId="0" fontId="12" fillId="13" borderId="14" xfId="0" applyFont="1" applyFill="1" applyBorder="1" applyAlignment="1">
      <alignment horizontal="center" wrapText="1"/>
    </xf>
    <xf numFmtId="0" fontId="14" fillId="0" borderId="18" xfId="0" applyFont="1" applyBorder="1" applyAlignment="1">
      <alignment wrapText="1"/>
    </xf>
    <xf numFmtId="0" fontId="14" fillId="0" borderId="21" xfId="0" applyFont="1" applyBorder="1" applyAlignment="1">
      <alignment wrapText="1"/>
    </xf>
    <xf numFmtId="0" fontId="21" fillId="10" borderId="0" xfId="0" applyFont="1" applyFill="1"/>
    <xf numFmtId="0" fontId="21" fillId="10" borderId="0" xfId="0" applyFont="1" applyFill="1" applyAlignment="1">
      <alignment vertical="center"/>
    </xf>
    <xf numFmtId="0" fontId="12" fillId="9" borderId="13" xfId="0" applyFont="1" applyFill="1" applyBorder="1" applyAlignment="1">
      <alignment horizontal="center" wrapText="1"/>
    </xf>
    <xf numFmtId="0" fontId="12" fillId="14" borderId="14" xfId="0" applyFont="1" applyFill="1" applyBorder="1" applyAlignment="1">
      <alignment horizontal="center" wrapText="1"/>
    </xf>
    <xf numFmtId="0" fontId="12" fillId="14" borderId="15" xfId="0" applyFont="1" applyFill="1" applyBorder="1" applyAlignment="1">
      <alignment horizontal="center" wrapText="1"/>
    </xf>
    <xf numFmtId="0" fontId="0" fillId="0" borderId="16" xfId="0" applyBorder="1"/>
    <xf numFmtId="0" fontId="0" fillId="0" borderId="17" xfId="0" applyBorder="1"/>
    <xf numFmtId="0" fontId="0" fillId="0" borderId="17" xfId="0" applyBorder="1" applyAlignment="1">
      <alignment horizontal="center"/>
    </xf>
    <xf numFmtId="0" fontId="8" fillId="16" borderId="19" xfId="0" applyFont="1" applyFill="1" applyBorder="1"/>
    <xf numFmtId="0" fontId="8" fillId="16" borderId="20" xfId="0" applyFont="1" applyFill="1" applyBorder="1"/>
    <xf numFmtId="3" fontId="8" fillId="16" borderId="20" xfId="0" applyNumberFormat="1" applyFont="1" applyFill="1" applyBorder="1" applyAlignment="1">
      <alignment horizontal="center"/>
    </xf>
    <xf numFmtId="0" fontId="8" fillId="16" borderId="20" xfId="0" applyFont="1" applyFill="1" applyBorder="1" applyAlignment="1">
      <alignment horizontal="center"/>
    </xf>
    <xf numFmtId="3" fontId="8" fillId="16" borderId="21" xfId="0" applyNumberFormat="1" applyFont="1" applyFill="1" applyBorder="1" applyAlignment="1">
      <alignment horizontal="center"/>
    </xf>
    <xf numFmtId="0" fontId="16" fillId="17" borderId="0" xfId="0" applyFont="1" applyFill="1"/>
    <xf numFmtId="0" fontId="16" fillId="17" borderId="0" xfId="0" applyFont="1" applyFill="1" applyAlignment="1">
      <alignment horizontal="center"/>
    </xf>
    <xf numFmtId="0" fontId="16" fillId="20" borderId="0" xfId="0" applyFont="1" applyFill="1"/>
    <xf numFmtId="0" fontId="16" fillId="20" borderId="0" xfId="0" applyFont="1" applyFill="1" applyAlignment="1">
      <alignment horizontal="center"/>
    </xf>
    <xf numFmtId="0" fontId="16" fillId="21" borderId="0" xfId="0" applyFont="1" applyFill="1"/>
    <xf numFmtId="0" fontId="16" fillId="21" borderId="0" xfId="0" applyFont="1" applyFill="1" applyAlignment="1">
      <alignment horizontal="center"/>
    </xf>
    <xf numFmtId="0" fontId="16" fillId="23" borderId="0" xfId="0" applyFont="1" applyFill="1"/>
    <xf numFmtId="0" fontId="16" fillId="23" borderId="0" xfId="0" applyFont="1" applyFill="1" applyAlignment="1">
      <alignment horizontal="center"/>
    </xf>
    <xf numFmtId="0" fontId="25" fillId="9" borderId="0" xfId="0" applyFont="1" applyFill="1"/>
    <xf numFmtId="0" fontId="25" fillId="9" borderId="0" xfId="0" applyFont="1" applyFill="1" applyAlignment="1">
      <alignment vertical="center"/>
    </xf>
    <xf numFmtId="0" fontId="26" fillId="0" borderId="0" xfId="0" applyFont="1"/>
    <xf numFmtId="0" fontId="9" fillId="0" borderId="0" xfId="0" applyFont="1"/>
    <xf numFmtId="0" fontId="9" fillId="16" borderId="22" xfId="0" applyFont="1" applyFill="1" applyBorder="1" applyAlignment="1">
      <alignment vertical="center" wrapText="1"/>
    </xf>
    <xf numFmtId="0" fontId="27" fillId="9" borderId="0" xfId="0" applyFont="1" applyFill="1" applyAlignment="1">
      <alignment vertical="center"/>
    </xf>
    <xf numFmtId="0" fontId="27" fillId="14" borderId="0" xfId="0" applyFont="1" applyFill="1" applyAlignment="1">
      <alignment vertical="center"/>
    </xf>
    <xf numFmtId="0" fontId="27" fillId="10" borderId="0" xfId="0" applyFont="1" applyFill="1" applyAlignment="1">
      <alignment vertical="center"/>
    </xf>
    <xf numFmtId="0" fontId="27" fillId="22" borderId="0" xfId="0" applyFont="1" applyFill="1" applyAlignment="1">
      <alignment vertical="center"/>
    </xf>
    <xf numFmtId="0" fontId="28" fillId="0" borderId="13" xfId="0" applyFont="1" applyBorder="1" applyAlignment="1">
      <alignment vertical="top" wrapText="1"/>
    </xf>
    <xf numFmtId="0" fontId="17" fillId="0" borderId="14" xfId="0" applyFont="1" applyBorder="1" applyAlignment="1">
      <alignment vertical="top" wrapText="1"/>
    </xf>
    <xf numFmtId="0" fontId="23" fillId="0" borderId="15" xfId="0" applyFont="1" applyBorder="1" applyAlignment="1">
      <alignment horizontal="center" vertical="top" wrapText="1"/>
    </xf>
    <xf numFmtId="0" fontId="28" fillId="0" borderId="16" xfId="0" applyFont="1" applyBorder="1" applyAlignment="1">
      <alignment vertical="top" wrapText="1"/>
    </xf>
    <xf numFmtId="0" fontId="17" fillId="0" borderId="17" xfId="0" applyFont="1" applyBorder="1" applyAlignment="1">
      <alignment vertical="top" wrapText="1"/>
    </xf>
    <xf numFmtId="0" fontId="23" fillId="0" borderId="18" xfId="0" applyFont="1" applyBorder="1" applyAlignment="1">
      <alignment horizontal="center" vertical="top" wrapText="1"/>
    </xf>
    <xf numFmtId="0" fontId="28" fillId="0" borderId="23" xfId="0" applyFont="1" applyBorder="1" applyAlignment="1">
      <alignment vertical="top" wrapText="1"/>
    </xf>
    <xf numFmtId="0" fontId="17" fillId="0" borderId="24" xfId="0" applyFont="1" applyBorder="1" applyAlignment="1">
      <alignment vertical="top" wrapText="1"/>
    </xf>
    <xf numFmtId="0" fontId="23" fillId="0" borderId="25" xfId="0" applyFont="1" applyBorder="1" applyAlignment="1">
      <alignment horizontal="center" vertical="top" wrapText="1"/>
    </xf>
    <xf numFmtId="0" fontId="24" fillId="0" borderId="15" xfId="0" applyFont="1" applyBorder="1" applyAlignment="1">
      <alignment horizontal="center" vertical="top" wrapText="1"/>
    </xf>
    <xf numFmtId="0" fontId="24" fillId="0" borderId="18" xfId="0" applyFont="1" applyBorder="1" applyAlignment="1">
      <alignment horizontal="center" vertical="top" wrapText="1"/>
    </xf>
    <xf numFmtId="0" fontId="24" fillId="0" borderId="25" xfId="0" applyFont="1" applyBorder="1" applyAlignment="1">
      <alignment horizontal="center" vertical="top" wrapText="1"/>
    </xf>
    <xf numFmtId="0" fontId="16" fillId="10" borderId="15" xfId="0" applyFont="1" applyFill="1" applyBorder="1" applyAlignment="1">
      <alignment horizontal="center" vertical="top" wrapText="1"/>
    </xf>
    <xf numFmtId="0" fontId="16" fillId="10" borderId="18" xfId="0" applyFont="1" applyFill="1" applyBorder="1" applyAlignment="1">
      <alignment horizontal="center" vertical="top" wrapText="1"/>
    </xf>
    <xf numFmtId="0" fontId="16" fillId="12" borderId="18" xfId="0" applyFont="1" applyFill="1" applyBorder="1" applyAlignment="1">
      <alignment horizontal="center" vertical="top" wrapText="1"/>
    </xf>
    <xf numFmtId="0" fontId="29" fillId="24" borderId="18" xfId="0" applyFont="1" applyFill="1" applyBorder="1" applyAlignment="1">
      <alignment horizontal="center" vertical="top" wrapText="1"/>
    </xf>
    <xf numFmtId="0" fontId="29" fillId="24" borderId="25" xfId="0" applyFont="1" applyFill="1" applyBorder="1" applyAlignment="1">
      <alignment horizontal="center" vertical="top" wrapText="1"/>
    </xf>
    <xf numFmtId="0" fontId="30" fillId="0" borderId="15" xfId="0" applyFont="1" applyBorder="1" applyAlignment="1">
      <alignment horizontal="center" vertical="top" wrapText="1"/>
    </xf>
    <xf numFmtId="0" fontId="30" fillId="0" borderId="18" xfId="0" applyFont="1" applyBorder="1" applyAlignment="1">
      <alignment horizontal="center" vertical="top" wrapText="1"/>
    </xf>
    <xf numFmtId="0" fontId="30" fillId="0" borderId="25" xfId="0" applyFont="1" applyBorder="1" applyAlignment="1">
      <alignment horizontal="center" vertical="top" wrapText="1"/>
    </xf>
  </cellXfs>
  <cellStyles count="1">
    <cellStyle name="Normal" xfId="0" builtinId="0"/>
  </cellStyles>
  <dxfs count="3">
    <dxf>
      <font>
        <color rgb="FF833C00"/>
      </font>
      <fill>
        <patternFill patternType="solid">
          <fgColor indexed="64"/>
          <bgColor rgb="FFFFE0B2"/>
        </patternFill>
      </fill>
    </dxf>
    <dxf>
      <font>
        <color rgb="FF9C0006"/>
      </font>
      <fill>
        <patternFill patternType="solid">
          <fgColor indexed="64"/>
          <bgColor rgb="FFFFC7CE"/>
        </patternFill>
      </fill>
    </dxf>
    <dxf>
      <fill>
        <patternFill patternType="solid">
          <fgColor indexed="64"/>
          <bgColor rgb="FFFCE4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Cantidad de SKU por clase ABC</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s-PE"/>
        </a:p>
      </c:txPr>
    </c:title>
    <c:autoTitleDeleted val="0"/>
    <c:plotArea>
      <c:layout/>
      <c:barChart>
        <c:barDir val="col"/>
        <c:grouping val="clustered"/>
        <c:varyColors val="0"/>
        <c:ser>
          <c:idx val="0"/>
          <c:order val="0"/>
          <c:spPr>
            <a:solidFill>
              <a:srgbClr val="1F38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ANALYTICS_BASE!$P$5:$P$7</c:f>
              <c:strCache>
                <c:ptCount val="3"/>
                <c:pt idx="0">
                  <c:v>Clase A</c:v>
                </c:pt>
                <c:pt idx="1">
                  <c:v>Clase B</c:v>
                </c:pt>
                <c:pt idx="2">
                  <c:v>Clase C</c:v>
                </c:pt>
              </c:strCache>
            </c:strRef>
          </c:cat>
          <c:val>
            <c:numRef>
              <c:f>ANALYTICS_BASE!$Q$5:$Q$7</c:f>
              <c:numCache>
                <c:formatCode>#,##0</c:formatCode>
                <c:ptCount val="3"/>
                <c:pt idx="0">
                  <c:v>39</c:v>
                </c:pt>
                <c:pt idx="1">
                  <c:v>35</c:v>
                </c:pt>
                <c:pt idx="2">
                  <c:v>26</c:v>
                </c:pt>
              </c:numCache>
            </c:numRef>
          </c:val>
          <c:extLst>
            <c:ext xmlns:c16="http://schemas.microsoft.com/office/drawing/2014/chart" uri="{C3380CC4-5D6E-409C-BE32-E72D297353CC}">
              <c16:uniqueId val="{00000000-B16E-4712-9DCD-28AE831F6153}"/>
            </c:ext>
          </c:extLst>
        </c:ser>
        <c:dLbls>
          <c:showLegendKey val="0"/>
          <c:showVal val="0"/>
          <c:showCatName val="0"/>
          <c:showSerName val="0"/>
          <c:showPercent val="0"/>
          <c:showBubbleSize val="0"/>
        </c:dLbls>
        <c:gapWidth val="219"/>
        <c:overlap val="-27"/>
        <c:axId val="220196560"/>
        <c:axId val="285983504"/>
      </c:barChart>
      <c:catAx>
        <c:axId val="220196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Clase ABC</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85983504"/>
        <c:crosses val="autoZero"/>
        <c:auto val="1"/>
        <c:lblAlgn val="ctr"/>
        <c:lblOffset val="100"/>
        <c:noMultiLvlLbl val="0"/>
      </c:catAx>
      <c:valAx>
        <c:axId val="285983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N° de SKU</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2019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Rotación promedio por familia (unid. despachadas en 6 meses)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s-PE"/>
        </a:p>
      </c:txPr>
    </c:title>
    <c:autoTitleDeleted val="0"/>
    <c:plotArea>
      <c:layout/>
      <c:barChart>
        <c:barDir val="bar"/>
        <c:grouping val="clustered"/>
        <c:varyColors val="0"/>
        <c:ser>
          <c:idx val="0"/>
          <c:order val="0"/>
          <c:spPr>
            <a:solidFill>
              <a:srgbClr val="2E549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ANALYTICS_BASE!$P$12:$P$16</c:f>
              <c:strCache>
                <c:ptCount val="5"/>
                <c:pt idx="0">
                  <c:v>Soportes</c:v>
                </c:pt>
                <c:pt idx="1">
                  <c:v>Correas</c:v>
                </c:pt>
                <c:pt idx="2">
                  <c:v>Filtros</c:v>
                </c:pt>
                <c:pt idx="3">
                  <c:v>Pastillas</c:v>
                </c:pt>
                <c:pt idx="4">
                  <c:v>Lubricantes</c:v>
                </c:pt>
              </c:strCache>
            </c:strRef>
          </c:cat>
          <c:val>
            <c:numRef>
              <c:f>ANALYTICS_BASE!$Q$12:$Q$16</c:f>
              <c:numCache>
                <c:formatCode>#,##0.0</c:formatCode>
                <c:ptCount val="5"/>
                <c:pt idx="0">
                  <c:v>352.15</c:v>
                </c:pt>
                <c:pt idx="1">
                  <c:v>338.25</c:v>
                </c:pt>
                <c:pt idx="2">
                  <c:v>281.05</c:v>
                </c:pt>
                <c:pt idx="3">
                  <c:v>267.75</c:v>
                </c:pt>
                <c:pt idx="4">
                  <c:v>250.3</c:v>
                </c:pt>
              </c:numCache>
            </c:numRef>
          </c:val>
          <c:extLst>
            <c:ext xmlns:c16="http://schemas.microsoft.com/office/drawing/2014/chart" uri="{C3380CC4-5D6E-409C-BE32-E72D297353CC}">
              <c16:uniqueId val="{00000000-2FD0-4B0E-8CAB-6DE37BD4260D}"/>
            </c:ext>
          </c:extLst>
        </c:ser>
        <c:dLbls>
          <c:showLegendKey val="0"/>
          <c:showVal val="0"/>
          <c:showCatName val="0"/>
          <c:showSerName val="0"/>
          <c:showPercent val="0"/>
          <c:showBubbleSize val="0"/>
        </c:dLbls>
        <c:gapWidth val="182"/>
        <c:axId val="234827488"/>
        <c:axId val="286057424"/>
      </c:barChart>
      <c:catAx>
        <c:axId val="234827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86057424"/>
        <c:crosses val="autoZero"/>
        <c:auto val="1"/>
        <c:lblAlgn val="ctr"/>
        <c:lblOffset val="100"/>
        <c:noMultiLvlLbl val="0"/>
      </c:catAx>
      <c:valAx>
        <c:axId val="286057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Rotación promedio (6M)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3482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Rotación promedio por zona vs. tiempo de acceso (línea)</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s-PE"/>
        </a:p>
      </c:txPr>
    </c:title>
    <c:autoTitleDeleted val="0"/>
    <c:plotArea>
      <c:layout/>
      <c:barChart>
        <c:barDir val="col"/>
        <c:grouping val="clustered"/>
        <c:varyColors val="0"/>
        <c:ser>
          <c:idx val="0"/>
          <c:order val="0"/>
          <c:tx>
            <c:strRef>
              <c:f>DASHBOARD_EJECUTIVO!$BM$4</c:f>
              <c:strCache>
                <c:ptCount val="1"/>
                <c:pt idx="0">
                  <c:v>Rotación promedio</c:v>
                </c:pt>
              </c:strCache>
            </c:strRef>
          </c:tx>
          <c:spPr>
            <a:solidFill>
              <a:srgbClr val="2E5496"/>
            </a:solidFill>
            <a:ln>
              <a:noFill/>
            </a:ln>
            <a:effectLst/>
          </c:spPr>
          <c:invertIfNegative val="0"/>
          <c:cat>
            <c:strRef>
              <c:f>DASHBOARD_EJECUTIVO!$BL$5:$BL$12</c:f>
              <c:strCache>
                <c:ptCount val="8"/>
                <c:pt idx="0">
                  <c:v>2. PISO</c:v>
                </c:pt>
                <c:pt idx="1">
                  <c:v>10. UBICACIÓN RECIBO</c:v>
                </c:pt>
                <c:pt idx="2">
                  <c:v>8. CLUSTER</c:v>
                </c:pt>
                <c:pt idx="3">
                  <c:v>4. RACK BALDA</c:v>
                </c:pt>
                <c:pt idx="4">
                  <c:v>5. RACK SIMPLE</c:v>
                </c:pt>
                <c:pt idx="5">
                  <c:v>6. RACK COLGANTES</c:v>
                </c:pt>
                <c:pt idx="6">
                  <c:v>1. LLANTAS</c:v>
                </c:pt>
                <c:pt idx="7">
                  <c:v>7. MEZANNINE</c:v>
                </c:pt>
              </c:strCache>
            </c:strRef>
          </c:cat>
          <c:val>
            <c:numRef>
              <c:f>DASHBOARD_EJECUTIVO!$BM$5:$BM$12</c:f>
              <c:numCache>
                <c:formatCode>General</c:formatCode>
                <c:ptCount val="8"/>
                <c:pt idx="0">
                  <c:v>305.40740740740739</c:v>
                </c:pt>
                <c:pt idx="1">
                  <c:v>330.875</c:v>
                </c:pt>
                <c:pt idx="2">
                  <c:v>291.71428571428572</c:v>
                </c:pt>
                <c:pt idx="3">
                  <c:v>266.16666666666669</c:v>
                </c:pt>
                <c:pt idx="4">
                  <c:v>318.46666666666664</c:v>
                </c:pt>
                <c:pt idx="5">
                  <c:v>272.5</c:v>
                </c:pt>
                <c:pt idx="6">
                  <c:v>273</c:v>
                </c:pt>
                <c:pt idx="7">
                  <c:v>315.39999999999998</c:v>
                </c:pt>
              </c:numCache>
            </c:numRef>
          </c:val>
          <c:extLst>
            <c:ext xmlns:c16="http://schemas.microsoft.com/office/drawing/2014/chart" uri="{C3380CC4-5D6E-409C-BE32-E72D297353CC}">
              <c16:uniqueId val="{00000000-AEE4-4CB7-8605-9673B94F0660}"/>
            </c:ext>
          </c:extLst>
        </c:ser>
        <c:dLbls>
          <c:showLegendKey val="0"/>
          <c:showVal val="0"/>
          <c:showCatName val="0"/>
          <c:showSerName val="0"/>
          <c:showPercent val="0"/>
          <c:showBubbleSize val="0"/>
        </c:dLbls>
        <c:gapWidth val="219"/>
        <c:overlap val="-27"/>
        <c:axId val="242064352"/>
        <c:axId val="285949904"/>
      </c:barChart>
      <c:lineChart>
        <c:grouping val="standard"/>
        <c:varyColors val="0"/>
        <c:ser>
          <c:idx val="1"/>
          <c:order val="1"/>
          <c:tx>
            <c:strRef>
              <c:f>DASHBOARD_EJECUTIVO!$BN$4</c:f>
              <c:strCache>
                <c:ptCount val="1"/>
                <c:pt idx="0">
                  <c:v>Tiempo de acceso (min)</c:v>
                </c:pt>
              </c:strCache>
            </c:strRef>
          </c:tx>
          <c:spPr>
            <a:ln w="31750" cap="rnd">
              <a:solidFill>
                <a:srgbClr val="C00000"/>
              </a:solidFill>
              <a:prstDash val="solid"/>
              <a:round/>
            </a:ln>
            <a:effectLst/>
          </c:spPr>
          <c:marker>
            <c:symbol val="none"/>
          </c:marker>
          <c:cat>
            <c:strRef>
              <c:f>DASHBOARD_EJECUTIVO!$BL$5:$BL$12</c:f>
              <c:strCache>
                <c:ptCount val="8"/>
                <c:pt idx="0">
                  <c:v>2. PISO</c:v>
                </c:pt>
                <c:pt idx="1">
                  <c:v>10. UBICACIÓN RECIBO</c:v>
                </c:pt>
                <c:pt idx="2">
                  <c:v>8. CLUSTER</c:v>
                </c:pt>
                <c:pt idx="3">
                  <c:v>4. RACK BALDA</c:v>
                </c:pt>
                <c:pt idx="4">
                  <c:v>5. RACK SIMPLE</c:v>
                </c:pt>
                <c:pt idx="5">
                  <c:v>6. RACK COLGANTES</c:v>
                </c:pt>
                <c:pt idx="6">
                  <c:v>1. LLANTAS</c:v>
                </c:pt>
                <c:pt idx="7">
                  <c:v>7. MEZANNINE</c:v>
                </c:pt>
              </c:strCache>
            </c:strRef>
          </c:cat>
          <c:val>
            <c:numRef>
              <c:f>DASHBOARD_EJECUTIVO!$BN$5:$BN$12</c:f>
              <c:numCache>
                <c:formatCode>General</c:formatCode>
                <c:ptCount val="8"/>
                <c:pt idx="0">
                  <c:v>1.6</c:v>
                </c:pt>
                <c:pt idx="1">
                  <c:v>2.0099999999999998</c:v>
                </c:pt>
                <c:pt idx="2">
                  <c:v>4.01</c:v>
                </c:pt>
                <c:pt idx="3">
                  <c:v>4.82</c:v>
                </c:pt>
                <c:pt idx="4">
                  <c:v>5.63</c:v>
                </c:pt>
                <c:pt idx="5">
                  <c:v>3.61</c:v>
                </c:pt>
                <c:pt idx="6">
                  <c:v>8.0399999999999991</c:v>
                </c:pt>
                <c:pt idx="7">
                  <c:v>6.42</c:v>
                </c:pt>
              </c:numCache>
            </c:numRef>
          </c:val>
          <c:smooth val="0"/>
          <c:extLst>
            <c:ext xmlns:c16="http://schemas.microsoft.com/office/drawing/2014/chart" uri="{C3380CC4-5D6E-409C-BE32-E72D297353CC}">
              <c16:uniqueId val="{00000001-AEE4-4CB7-8605-9673B94F0660}"/>
            </c:ext>
          </c:extLst>
        </c:ser>
        <c:dLbls>
          <c:showLegendKey val="0"/>
          <c:showVal val="0"/>
          <c:showCatName val="0"/>
          <c:showSerName val="0"/>
          <c:showPercent val="0"/>
          <c:showBubbleSize val="0"/>
        </c:dLbls>
        <c:marker val="1"/>
        <c:smooth val="0"/>
        <c:axId val="248898096"/>
        <c:axId val="286002704"/>
      </c:lineChart>
      <c:catAx>
        <c:axId val="24206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85949904"/>
        <c:crosses val="autoZero"/>
        <c:auto val="1"/>
        <c:lblAlgn val="ctr"/>
        <c:lblOffset val="100"/>
        <c:noMultiLvlLbl val="0"/>
      </c:catAx>
      <c:valAx>
        <c:axId val="285949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Rotación promedio (6M)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42064352"/>
        <c:crosses val="autoZero"/>
        <c:crossBetween val="between"/>
      </c:valAx>
      <c:valAx>
        <c:axId val="2860027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48898096"/>
        <c:crosses val="max"/>
        <c:crossBetween val="between"/>
      </c:valAx>
      <c:catAx>
        <c:axId val="248898096"/>
        <c:scaling>
          <c:orientation val="minMax"/>
        </c:scaling>
        <c:delete val="1"/>
        <c:axPos val="b"/>
        <c:numFmt formatCode="General" sourceLinked="1"/>
        <c:majorTickMark val="out"/>
        <c:minorTickMark val="none"/>
        <c:tickLblPos val="nextTo"/>
        <c:crossAx val="286002704"/>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Volumen utilizado vs. capacidad instalada por zona (m³)</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s-PE"/>
        </a:p>
      </c:txPr>
    </c:title>
    <c:autoTitleDeleted val="0"/>
    <c:plotArea>
      <c:layout/>
      <c:barChart>
        <c:barDir val="col"/>
        <c:grouping val="clustered"/>
        <c:varyColors val="0"/>
        <c:ser>
          <c:idx val="0"/>
          <c:order val="0"/>
          <c:tx>
            <c:strRef>
              <c:f>DASHBOARD_EJECUTIVO!$BQ$4</c:f>
              <c:strCache>
                <c:ptCount val="1"/>
                <c:pt idx="0">
                  <c:v>Volumen utilizado (m³)</c:v>
                </c:pt>
              </c:strCache>
            </c:strRef>
          </c:tx>
          <c:spPr>
            <a:solidFill>
              <a:srgbClr val="2E5496"/>
            </a:solidFill>
            <a:ln>
              <a:noFill/>
            </a:ln>
            <a:effectLst/>
          </c:spPr>
          <c:invertIfNegative val="0"/>
          <c:cat>
            <c:strRef>
              <c:f>DASHBOARD_EJECUTIVO!$BP$5:$BP$13</c:f>
              <c:strCache>
                <c:ptCount val="9"/>
                <c:pt idx="0">
                  <c:v>2. PISO</c:v>
                </c:pt>
                <c:pt idx="1">
                  <c:v>10. UBICACIÓN RECIBO</c:v>
                </c:pt>
                <c:pt idx="2">
                  <c:v>8. CLUSTER</c:v>
                </c:pt>
                <c:pt idx="3">
                  <c:v>4. RACK BALDA</c:v>
                </c:pt>
                <c:pt idx="4">
                  <c:v>5. RACK SIMPLE</c:v>
                </c:pt>
                <c:pt idx="5">
                  <c:v>6. RACK COLGANTES</c:v>
                </c:pt>
                <c:pt idx="6">
                  <c:v>1. LLANTAS</c:v>
                </c:pt>
                <c:pt idx="7">
                  <c:v>7. MEZANNINE</c:v>
                </c:pt>
                <c:pt idx="8">
                  <c:v>14. LATERALES</c:v>
                </c:pt>
              </c:strCache>
            </c:strRef>
          </c:cat>
          <c:val>
            <c:numRef>
              <c:f>DASHBOARD_EJECUTIVO!$BQ$5:$BQ$13</c:f>
              <c:numCache>
                <c:formatCode>General</c:formatCode>
                <c:ptCount val="9"/>
                <c:pt idx="0">
                  <c:v>4.2841488084382489</c:v>
                </c:pt>
                <c:pt idx="1">
                  <c:v>1.124845948413719</c:v>
                </c:pt>
                <c:pt idx="2">
                  <c:v>2.8136089112789318</c:v>
                </c:pt>
                <c:pt idx="3">
                  <c:v>4.4088402988203885</c:v>
                </c:pt>
                <c:pt idx="4">
                  <c:v>5.256161762917416</c:v>
                </c:pt>
                <c:pt idx="5">
                  <c:v>1.6933486596874612</c:v>
                </c:pt>
                <c:pt idx="6">
                  <c:v>3.7767000346159687</c:v>
                </c:pt>
                <c:pt idx="7">
                  <c:v>2.8004790278472886</c:v>
                </c:pt>
                <c:pt idx="8">
                  <c:v>0</c:v>
                </c:pt>
              </c:numCache>
            </c:numRef>
          </c:val>
          <c:extLst>
            <c:ext xmlns:c16="http://schemas.microsoft.com/office/drawing/2014/chart" uri="{C3380CC4-5D6E-409C-BE32-E72D297353CC}">
              <c16:uniqueId val="{00000000-E6F4-4FF4-A462-F94FFE89E467}"/>
            </c:ext>
          </c:extLst>
        </c:ser>
        <c:ser>
          <c:idx val="1"/>
          <c:order val="1"/>
          <c:tx>
            <c:strRef>
              <c:f>DASHBOARD_EJECUTIVO!$BR$4</c:f>
              <c:strCache>
                <c:ptCount val="1"/>
                <c:pt idx="0">
                  <c:v>Capacidad zona (m³)</c:v>
                </c:pt>
              </c:strCache>
            </c:strRef>
          </c:tx>
          <c:spPr>
            <a:solidFill>
              <a:srgbClr val="D9D9D9"/>
            </a:solidFill>
            <a:ln>
              <a:noFill/>
            </a:ln>
            <a:effectLst/>
          </c:spPr>
          <c:invertIfNegative val="0"/>
          <c:cat>
            <c:strRef>
              <c:f>DASHBOARD_EJECUTIVO!$BP$5:$BP$13</c:f>
              <c:strCache>
                <c:ptCount val="9"/>
                <c:pt idx="0">
                  <c:v>2. PISO</c:v>
                </c:pt>
                <c:pt idx="1">
                  <c:v>10. UBICACIÓN RECIBO</c:v>
                </c:pt>
                <c:pt idx="2">
                  <c:v>8. CLUSTER</c:v>
                </c:pt>
                <c:pt idx="3">
                  <c:v>4. RACK BALDA</c:v>
                </c:pt>
                <c:pt idx="4">
                  <c:v>5. RACK SIMPLE</c:v>
                </c:pt>
                <c:pt idx="5">
                  <c:v>6. RACK COLGANTES</c:v>
                </c:pt>
                <c:pt idx="6">
                  <c:v>1. LLANTAS</c:v>
                </c:pt>
                <c:pt idx="7">
                  <c:v>7. MEZANNINE</c:v>
                </c:pt>
                <c:pt idx="8">
                  <c:v>14. LATERALES</c:v>
                </c:pt>
              </c:strCache>
            </c:strRef>
          </c:cat>
          <c:val>
            <c:numRef>
              <c:f>DASHBOARD_EJECUTIVO!$BR$5:$BR$13</c:f>
              <c:numCache>
                <c:formatCode>General</c:formatCode>
                <c:ptCount val="9"/>
                <c:pt idx="0">
                  <c:v>500</c:v>
                </c:pt>
                <c:pt idx="1">
                  <c:v>200</c:v>
                </c:pt>
                <c:pt idx="2">
                  <c:v>300</c:v>
                </c:pt>
                <c:pt idx="3">
                  <c:v>250</c:v>
                </c:pt>
                <c:pt idx="4">
                  <c:v>280</c:v>
                </c:pt>
                <c:pt idx="5">
                  <c:v>180</c:v>
                </c:pt>
                <c:pt idx="6">
                  <c:v>400</c:v>
                </c:pt>
                <c:pt idx="7">
                  <c:v>350</c:v>
                </c:pt>
                <c:pt idx="8">
                  <c:v>220</c:v>
                </c:pt>
              </c:numCache>
            </c:numRef>
          </c:val>
          <c:extLst>
            <c:ext xmlns:c16="http://schemas.microsoft.com/office/drawing/2014/chart" uri="{C3380CC4-5D6E-409C-BE32-E72D297353CC}">
              <c16:uniqueId val="{00000001-E6F4-4FF4-A462-F94FFE89E467}"/>
            </c:ext>
          </c:extLst>
        </c:ser>
        <c:dLbls>
          <c:showLegendKey val="0"/>
          <c:showVal val="0"/>
          <c:showCatName val="0"/>
          <c:showSerName val="0"/>
          <c:showPercent val="0"/>
          <c:showBubbleSize val="0"/>
        </c:dLbls>
        <c:gapWidth val="219"/>
        <c:overlap val="-27"/>
        <c:axId val="248899488"/>
        <c:axId val="285950384"/>
      </c:barChart>
      <c:catAx>
        <c:axId val="24889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85950384"/>
        <c:crosses val="autoZero"/>
        <c:auto val="1"/>
        <c:lblAlgn val="ctr"/>
        <c:lblOffset val="100"/>
        <c:noMultiLvlLbl val="0"/>
      </c:catAx>
      <c:valAx>
        <c:axId val="285950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48899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Ranking de zonas por tiempo de acceso (min) — costo operativo unitario</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s-PE"/>
        </a:p>
      </c:txPr>
    </c:title>
    <c:autoTitleDeleted val="0"/>
    <c:plotArea>
      <c:layout/>
      <c:barChart>
        <c:barDir val="bar"/>
        <c:grouping val="clustered"/>
        <c:varyColors val="0"/>
        <c:ser>
          <c:idx val="0"/>
          <c:order val="0"/>
          <c:tx>
            <c:strRef>
              <c:f>DASHBOARD_EJECUTIVO!$BU$4</c:f>
              <c:strCache>
                <c:ptCount val="1"/>
                <c:pt idx="0">
                  <c:v>Tiempo de acceso (min)</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DASHBOARD_EJECUTIVO!$BT$5:$BT$13</c:f>
              <c:strCache>
                <c:ptCount val="9"/>
                <c:pt idx="0">
                  <c:v>1. LLANTAS</c:v>
                </c:pt>
                <c:pt idx="1">
                  <c:v>7. MEZANNINE</c:v>
                </c:pt>
                <c:pt idx="2">
                  <c:v>14. LATERALES</c:v>
                </c:pt>
                <c:pt idx="3">
                  <c:v>5. RACK SIMPLE</c:v>
                </c:pt>
                <c:pt idx="4">
                  <c:v>4. RACK BALDA</c:v>
                </c:pt>
                <c:pt idx="5">
                  <c:v>8. CLUSTER</c:v>
                </c:pt>
                <c:pt idx="6">
                  <c:v>6. RACK COLGANTES</c:v>
                </c:pt>
                <c:pt idx="7">
                  <c:v>10. UBICACIÓN RECIBO</c:v>
                </c:pt>
                <c:pt idx="8">
                  <c:v>2. PISO</c:v>
                </c:pt>
              </c:strCache>
            </c:strRef>
          </c:cat>
          <c:val>
            <c:numRef>
              <c:f>DASHBOARD_EJECUTIVO!$BU$5:$BU$13</c:f>
              <c:numCache>
                <c:formatCode>General</c:formatCode>
                <c:ptCount val="9"/>
                <c:pt idx="0">
                  <c:v>8.0399999999999991</c:v>
                </c:pt>
                <c:pt idx="1">
                  <c:v>6.42</c:v>
                </c:pt>
                <c:pt idx="2">
                  <c:v>5.63</c:v>
                </c:pt>
                <c:pt idx="3">
                  <c:v>5.63</c:v>
                </c:pt>
                <c:pt idx="4">
                  <c:v>4.82</c:v>
                </c:pt>
                <c:pt idx="5">
                  <c:v>4.01</c:v>
                </c:pt>
                <c:pt idx="6">
                  <c:v>3.61</c:v>
                </c:pt>
                <c:pt idx="7">
                  <c:v>2.0099999999999998</c:v>
                </c:pt>
                <c:pt idx="8">
                  <c:v>1.6</c:v>
                </c:pt>
              </c:numCache>
            </c:numRef>
          </c:val>
          <c:extLst>
            <c:ext xmlns:c16="http://schemas.microsoft.com/office/drawing/2014/chart" uri="{C3380CC4-5D6E-409C-BE32-E72D297353CC}">
              <c16:uniqueId val="{00000000-BEC3-4300-914C-041D9AD8D5CA}"/>
            </c:ext>
          </c:extLst>
        </c:ser>
        <c:dLbls>
          <c:showLegendKey val="0"/>
          <c:showVal val="0"/>
          <c:showCatName val="0"/>
          <c:showSerName val="0"/>
          <c:showPercent val="0"/>
          <c:showBubbleSize val="0"/>
        </c:dLbls>
        <c:gapWidth val="182"/>
        <c:axId val="257915728"/>
        <c:axId val="286056944"/>
      </c:barChart>
      <c:catAx>
        <c:axId val="2579157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86056944"/>
        <c:crosses val="autoZero"/>
        <c:auto val="1"/>
        <c:lblAlgn val="ctr"/>
        <c:lblOffset val="100"/>
        <c:noMultiLvlLbl val="0"/>
      </c:catAx>
      <c:valAx>
        <c:axId val="286056944"/>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Tiempo de acceso (min)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57915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Pareto — Top 20 SKU por rotación y % acumulado del movimiento</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s-PE"/>
        </a:p>
      </c:txPr>
    </c:title>
    <c:autoTitleDeleted val="0"/>
    <c:plotArea>
      <c:layout/>
      <c:barChart>
        <c:barDir val="col"/>
        <c:grouping val="clustered"/>
        <c:varyColors val="0"/>
        <c:ser>
          <c:idx val="0"/>
          <c:order val="0"/>
          <c:tx>
            <c:strRef>
              <c:f>DASHBOARD_EJECUTIVO!$BZ$4</c:f>
              <c:strCache>
                <c:ptCount val="1"/>
                <c:pt idx="0">
                  <c:v>Rotación (6M)</c:v>
                </c:pt>
              </c:strCache>
            </c:strRef>
          </c:tx>
          <c:spPr>
            <a:solidFill>
              <a:srgbClr val="1F3864"/>
            </a:solidFill>
            <a:ln>
              <a:noFill/>
            </a:ln>
            <a:effectLst/>
          </c:spPr>
          <c:invertIfNegative val="0"/>
          <c:cat>
            <c:strRef>
              <c:f>DASHBOARD_EJECUTIVO!$BY$5:$BY$24</c:f>
              <c:strCache>
                <c:ptCount val="20"/>
                <c:pt idx="0">
                  <c:v>SKU00085</c:v>
                </c:pt>
                <c:pt idx="1">
                  <c:v>SKU00078</c:v>
                </c:pt>
                <c:pt idx="2">
                  <c:v>SKU00026</c:v>
                </c:pt>
                <c:pt idx="3">
                  <c:v>SKU00069</c:v>
                </c:pt>
                <c:pt idx="4">
                  <c:v>SKU00005</c:v>
                </c:pt>
                <c:pt idx="5">
                  <c:v>SKU00100</c:v>
                </c:pt>
                <c:pt idx="6">
                  <c:v>SKU00062</c:v>
                </c:pt>
                <c:pt idx="7">
                  <c:v>SKU00054</c:v>
                </c:pt>
                <c:pt idx="8">
                  <c:v>SKU00018</c:v>
                </c:pt>
                <c:pt idx="9">
                  <c:v>SKU00030</c:v>
                </c:pt>
                <c:pt idx="10">
                  <c:v>SKU00035</c:v>
                </c:pt>
                <c:pt idx="11">
                  <c:v>SKU00025</c:v>
                </c:pt>
                <c:pt idx="12">
                  <c:v>SKU00084</c:v>
                </c:pt>
                <c:pt idx="13">
                  <c:v>SKU00009</c:v>
                </c:pt>
                <c:pt idx="14">
                  <c:v>SKU00034</c:v>
                </c:pt>
                <c:pt idx="15">
                  <c:v>SKU00045</c:v>
                </c:pt>
                <c:pt idx="16">
                  <c:v>SKU00059</c:v>
                </c:pt>
                <c:pt idx="17">
                  <c:v>SKU00044</c:v>
                </c:pt>
                <c:pt idx="18">
                  <c:v>SKU00051</c:v>
                </c:pt>
                <c:pt idx="19">
                  <c:v>SKU00001</c:v>
                </c:pt>
              </c:strCache>
            </c:strRef>
          </c:cat>
          <c:val>
            <c:numRef>
              <c:f>DASHBOARD_EJECUTIVO!$BZ$5:$BZ$24</c:f>
              <c:numCache>
                <c:formatCode>General</c:formatCode>
                <c:ptCount val="20"/>
                <c:pt idx="0">
                  <c:v>496</c:v>
                </c:pt>
                <c:pt idx="1">
                  <c:v>485</c:v>
                </c:pt>
                <c:pt idx="2">
                  <c:v>484</c:v>
                </c:pt>
                <c:pt idx="3">
                  <c:v>479</c:v>
                </c:pt>
                <c:pt idx="4">
                  <c:v>465</c:v>
                </c:pt>
                <c:pt idx="5">
                  <c:v>460</c:v>
                </c:pt>
                <c:pt idx="6">
                  <c:v>453</c:v>
                </c:pt>
                <c:pt idx="7">
                  <c:v>452</c:v>
                </c:pt>
                <c:pt idx="8">
                  <c:v>451</c:v>
                </c:pt>
                <c:pt idx="9">
                  <c:v>450</c:v>
                </c:pt>
                <c:pt idx="10">
                  <c:v>448</c:v>
                </c:pt>
                <c:pt idx="11">
                  <c:v>439</c:v>
                </c:pt>
                <c:pt idx="12">
                  <c:v>438</c:v>
                </c:pt>
                <c:pt idx="13">
                  <c:v>432</c:v>
                </c:pt>
                <c:pt idx="14">
                  <c:v>431</c:v>
                </c:pt>
                <c:pt idx="15">
                  <c:v>426</c:v>
                </c:pt>
                <c:pt idx="16">
                  <c:v>426</c:v>
                </c:pt>
                <c:pt idx="17">
                  <c:v>425</c:v>
                </c:pt>
                <c:pt idx="18">
                  <c:v>423</c:v>
                </c:pt>
                <c:pt idx="19">
                  <c:v>422</c:v>
                </c:pt>
              </c:numCache>
            </c:numRef>
          </c:val>
          <c:extLst>
            <c:ext xmlns:c16="http://schemas.microsoft.com/office/drawing/2014/chart" uri="{C3380CC4-5D6E-409C-BE32-E72D297353CC}">
              <c16:uniqueId val="{00000000-E5F9-4401-B82E-B0EA532553A5}"/>
            </c:ext>
          </c:extLst>
        </c:ser>
        <c:dLbls>
          <c:showLegendKey val="0"/>
          <c:showVal val="0"/>
          <c:showCatName val="0"/>
          <c:showSerName val="0"/>
          <c:showPercent val="0"/>
          <c:showBubbleSize val="0"/>
        </c:dLbls>
        <c:gapWidth val="219"/>
        <c:overlap val="-27"/>
        <c:axId val="249553232"/>
        <c:axId val="286007984"/>
      </c:barChart>
      <c:lineChart>
        <c:grouping val="standard"/>
        <c:varyColors val="0"/>
        <c:ser>
          <c:idx val="1"/>
          <c:order val="1"/>
          <c:tx>
            <c:strRef>
              <c:f>DASHBOARD_EJECUTIVO!$CA$4</c:f>
              <c:strCache>
                <c:ptCount val="1"/>
                <c:pt idx="0">
                  <c:v>% acumulado</c:v>
                </c:pt>
              </c:strCache>
            </c:strRef>
          </c:tx>
          <c:spPr>
            <a:ln w="31750" cap="rnd">
              <a:solidFill>
                <a:srgbClr val="C00000"/>
              </a:solidFill>
              <a:prstDash val="solid"/>
              <a:round/>
            </a:ln>
            <a:effectLst/>
          </c:spPr>
          <c:marker>
            <c:symbol val="circle"/>
            <c:size val="5"/>
            <c:spPr>
              <a:solidFill>
                <a:schemeClr val="accent2"/>
              </a:solidFill>
              <a:ln w="9525">
                <a:solidFill>
                  <a:schemeClr val="accent2"/>
                </a:solidFill>
              </a:ln>
              <a:effectLst/>
            </c:spPr>
          </c:marker>
          <c:cat>
            <c:strRef>
              <c:f>DASHBOARD_EJECUTIVO!$BY$5:$BY$24</c:f>
              <c:strCache>
                <c:ptCount val="20"/>
                <c:pt idx="0">
                  <c:v>SKU00085</c:v>
                </c:pt>
                <c:pt idx="1">
                  <c:v>SKU00078</c:v>
                </c:pt>
                <c:pt idx="2">
                  <c:v>SKU00026</c:v>
                </c:pt>
                <c:pt idx="3">
                  <c:v>SKU00069</c:v>
                </c:pt>
                <c:pt idx="4">
                  <c:v>SKU00005</c:v>
                </c:pt>
                <c:pt idx="5">
                  <c:v>SKU00100</c:v>
                </c:pt>
                <c:pt idx="6">
                  <c:v>SKU00062</c:v>
                </c:pt>
                <c:pt idx="7">
                  <c:v>SKU00054</c:v>
                </c:pt>
                <c:pt idx="8">
                  <c:v>SKU00018</c:v>
                </c:pt>
                <c:pt idx="9">
                  <c:v>SKU00030</c:v>
                </c:pt>
                <c:pt idx="10">
                  <c:v>SKU00035</c:v>
                </c:pt>
                <c:pt idx="11">
                  <c:v>SKU00025</c:v>
                </c:pt>
                <c:pt idx="12">
                  <c:v>SKU00084</c:v>
                </c:pt>
                <c:pt idx="13">
                  <c:v>SKU00009</c:v>
                </c:pt>
                <c:pt idx="14">
                  <c:v>SKU00034</c:v>
                </c:pt>
                <c:pt idx="15">
                  <c:v>SKU00045</c:v>
                </c:pt>
                <c:pt idx="16">
                  <c:v>SKU00059</c:v>
                </c:pt>
                <c:pt idx="17">
                  <c:v>SKU00044</c:v>
                </c:pt>
                <c:pt idx="18">
                  <c:v>SKU00051</c:v>
                </c:pt>
                <c:pt idx="19">
                  <c:v>SKU00001</c:v>
                </c:pt>
              </c:strCache>
            </c:strRef>
          </c:cat>
          <c:val>
            <c:numRef>
              <c:f>DASHBOARD_EJECUTIVO!$CA$5:$CA$24</c:f>
              <c:numCache>
                <c:formatCode>General</c:formatCode>
                <c:ptCount val="20"/>
                <c:pt idx="0">
                  <c:v>1.6649882510909701E-2</c:v>
                </c:pt>
                <c:pt idx="1">
                  <c:v>3.2930513595166161E-2</c:v>
                </c:pt>
                <c:pt idx="2">
                  <c:v>4.9177576367908697E-2</c:v>
                </c:pt>
                <c:pt idx="3">
                  <c:v>6.5256797583081574E-2</c:v>
                </c:pt>
                <c:pt idx="4">
                  <c:v>8.0866062437059419E-2</c:v>
                </c:pt>
                <c:pt idx="5">
                  <c:v>9.6307485733467604E-2</c:v>
                </c:pt>
                <c:pt idx="6">
                  <c:v>0.11151393084927828</c:v>
                </c:pt>
                <c:pt idx="7">
                  <c:v>0.12668680765357501</c:v>
                </c:pt>
                <c:pt idx="8">
                  <c:v>0.14182611614635784</c:v>
                </c:pt>
                <c:pt idx="9">
                  <c:v>0.15693185632762671</c:v>
                </c:pt>
                <c:pt idx="10">
                  <c:v>0.17197045988586773</c:v>
                </c:pt>
                <c:pt idx="11">
                  <c:v>0.18670694864048337</c:v>
                </c:pt>
                <c:pt idx="12">
                  <c:v>0.2014098690835851</c:v>
                </c:pt>
                <c:pt idx="13">
                  <c:v>0.21591137965760324</c:v>
                </c:pt>
                <c:pt idx="14">
                  <c:v>0.2303793219201074</c:v>
                </c:pt>
                <c:pt idx="15">
                  <c:v>0.24467942262504197</c:v>
                </c:pt>
                <c:pt idx="16">
                  <c:v>0.25897952332997648</c:v>
                </c:pt>
                <c:pt idx="17">
                  <c:v>0.27324605572339711</c:v>
                </c:pt>
                <c:pt idx="18">
                  <c:v>0.28744545149378986</c:v>
                </c:pt>
                <c:pt idx="19">
                  <c:v>0.3016112789526687</c:v>
                </c:pt>
              </c:numCache>
            </c:numRef>
          </c:val>
          <c:smooth val="0"/>
          <c:extLst>
            <c:ext xmlns:c16="http://schemas.microsoft.com/office/drawing/2014/chart" uri="{C3380CC4-5D6E-409C-BE32-E72D297353CC}">
              <c16:uniqueId val="{00000001-E5F9-4401-B82E-B0EA532553A5}"/>
            </c:ext>
          </c:extLst>
        </c:ser>
        <c:dLbls>
          <c:showLegendKey val="0"/>
          <c:showVal val="0"/>
          <c:showCatName val="0"/>
          <c:showSerName val="0"/>
          <c:showPercent val="0"/>
          <c:showBubbleSize val="0"/>
        </c:dLbls>
        <c:marker val="1"/>
        <c:smooth val="0"/>
        <c:axId val="257918048"/>
        <c:axId val="286038704"/>
      </c:lineChart>
      <c:catAx>
        <c:axId val="24955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86007984"/>
        <c:crosses val="autoZero"/>
        <c:auto val="1"/>
        <c:lblAlgn val="ctr"/>
        <c:lblOffset val="100"/>
        <c:noMultiLvlLbl val="0"/>
      </c:catAx>
      <c:valAx>
        <c:axId val="286007984"/>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Rotación (unid. 6M)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49553232"/>
        <c:crosses val="autoZero"/>
        <c:crossBetween val="between"/>
      </c:valAx>
      <c:valAx>
        <c:axId val="286038704"/>
        <c:scaling>
          <c:orientation val="minMax"/>
          <c:max val="1"/>
          <c:min val="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57918048"/>
        <c:crosses val="max"/>
        <c:crossBetween val="between"/>
      </c:valAx>
      <c:catAx>
        <c:axId val="257918048"/>
        <c:scaling>
          <c:orientation val="minMax"/>
        </c:scaling>
        <c:delete val="1"/>
        <c:axPos val="b"/>
        <c:numFmt formatCode="General" sourceLinked="1"/>
        <c:majorTickMark val="out"/>
        <c:minorTickMark val="none"/>
        <c:tickLblPos val="nextTo"/>
        <c:crossAx val="286038704"/>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r>
              <a:rPr lang="en-US"/>
              <a:t>Rotación vs. tiempo de acceso — candidatos críticos en rojo</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3864"/>
              </a:solidFill>
              <a:latin typeface="+mn-lt"/>
              <a:ea typeface="+mn-ea"/>
              <a:cs typeface="+mn-cs"/>
            </a:defRPr>
          </a:pPr>
          <a:endParaRPr lang="es-PE"/>
        </a:p>
      </c:txPr>
    </c:title>
    <c:autoTitleDeleted val="0"/>
    <c:plotArea>
      <c:layout/>
      <c:scatterChart>
        <c:scatterStyle val="lineMarker"/>
        <c:varyColors val="0"/>
        <c:ser>
          <c:idx val="0"/>
          <c:order val="0"/>
          <c:tx>
            <c:strRef>
              <c:f>DASHBOARD_EJECUTIVO!$BB$4</c:f>
              <c:strCache>
                <c:ptCount val="1"/>
                <c:pt idx="0">
                  <c:v>Resto de SKU</c:v>
                </c:pt>
              </c:strCache>
            </c:strRef>
          </c:tx>
          <c:spPr>
            <a:ln w="28575" cap="rnd">
              <a:noFill/>
              <a:round/>
            </a:ln>
            <a:effectLst/>
          </c:spPr>
          <c:marker>
            <c:symbol val="circle"/>
            <c:size val="6"/>
            <c:spPr>
              <a:solidFill>
                <a:srgbClr val="8EA9DB"/>
              </a:solidFill>
              <a:ln w="9525">
                <a:solidFill>
                  <a:srgbClr val="8EA9DB"/>
                </a:solidFill>
                <a:prstDash val="solid"/>
              </a:ln>
              <a:effectLst/>
            </c:spPr>
          </c:marker>
          <c:xVal>
            <c:numRef>
              <c:f>DASHBOARD_EJECUTIVO!$BA$5:$BA$104</c:f>
              <c:numCache>
                <c:formatCode>General</c:formatCode>
                <c:ptCount val="100"/>
                <c:pt idx="0">
                  <c:v>422</c:v>
                </c:pt>
                <c:pt idx="1">
                  <c:v>236</c:v>
                </c:pt>
                <c:pt idx="2">
                  <c:v>231</c:v>
                </c:pt>
                <c:pt idx="3">
                  <c:v>208</c:v>
                </c:pt>
                <c:pt idx="4">
                  <c:v>465</c:v>
                </c:pt>
                <c:pt idx="5">
                  <c:v>161</c:v>
                </c:pt>
                <c:pt idx="6">
                  <c:v>102</c:v>
                </c:pt>
                <c:pt idx="7">
                  <c:v>236</c:v>
                </c:pt>
                <c:pt idx="8">
                  <c:v>432</c:v>
                </c:pt>
                <c:pt idx="9">
                  <c:v>316</c:v>
                </c:pt>
                <c:pt idx="10">
                  <c:v>219</c:v>
                </c:pt>
                <c:pt idx="11">
                  <c:v>150</c:v>
                </c:pt>
                <c:pt idx="12">
                  <c:v>398</c:v>
                </c:pt>
                <c:pt idx="13">
                  <c:v>352</c:v>
                </c:pt>
                <c:pt idx="14">
                  <c:v>401</c:v>
                </c:pt>
                <c:pt idx="15">
                  <c:v>302</c:v>
                </c:pt>
                <c:pt idx="16">
                  <c:v>314</c:v>
                </c:pt>
                <c:pt idx="17">
                  <c:v>451</c:v>
                </c:pt>
                <c:pt idx="18">
                  <c:v>186</c:v>
                </c:pt>
                <c:pt idx="19">
                  <c:v>399</c:v>
                </c:pt>
                <c:pt idx="20">
                  <c:v>167</c:v>
                </c:pt>
                <c:pt idx="21">
                  <c:v>298</c:v>
                </c:pt>
                <c:pt idx="22">
                  <c:v>186</c:v>
                </c:pt>
                <c:pt idx="23">
                  <c:v>171</c:v>
                </c:pt>
                <c:pt idx="24">
                  <c:v>439</c:v>
                </c:pt>
                <c:pt idx="25">
                  <c:v>484</c:v>
                </c:pt>
                <c:pt idx="26">
                  <c:v>72</c:v>
                </c:pt>
                <c:pt idx="27">
                  <c:v>353</c:v>
                </c:pt>
                <c:pt idx="28">
                  <c:v>419</c:v>
                </c:pt>
                <c:pt idx="29">
                  <c:v>450</c:v>
                </c:pt>
                <c:pt idx="30">
                  <c:v>135</c:v>
                </c:pt>
                <c:pt idx="31">
                  <c:v>296</c:v>
                </c:pt>
                <c:pt idx="32">
                  <c:v>201</c:v>
                </c:pt>
                <c:pt idx="33">
                  <c:v>431</c:v>
                </c:pt>
                <c:pt idx="34">
                  <c:v>448</c:v>
                </c:pt>
                <c:pt idx="35">
                  <c:v>338</c:v>
                </c:pt>
                <c:pt idx="36">
                  <c:v>294</c:v>
                </c:pt>
                <c:pt idx="37">
                  <c:v>74</c:v>
                </c:pt>
                <c:pt idx="38">
                  <c:v>314</c:v>
                </c:pt>
                <c:pt idx="39">
                  <c:v>266</c:v>
                </c:pt>
                <c:pt idx="40">
                  <c:v>265</c:v>
                </c:pt>
                <c:pt idx="41">
                  <c:v>84</c:v>
                </c:pt>
                <c:pt idx="42">
                  <c:v>340</c:v>
                </c:pt>
                <c:pt idx="43">
                  <c:v>425</c:v>
                </c:pt>
                <c:pt idx="44">
                  <c:v>426</c:v>
                </c:pt>
                <c:pt idx="45">
                  <c:v>300</c:v>
                </c:pt>
                <c:pt idx="46">
                  <c:v>406</c:v>
                </c:pt>
                <c:pt idx="47">
                  <c:v>61</c:v>
                </c:pt>
                <c:pt idx="48">
                  <c:v>315</c:v>
                </c:pt>
                <c:pt idx="49">
                  <c:v>363</c:v>
                </c:pt>
                <c:pt idx="50">
                  <c:v>423</c:v>
                </c:pt>
                <c:pt idx="51">
                  <c:v>227</c:v>
                </c:pt>
                <c:pt idx="52">
                  <c:v>382</c:v>
                </c:pt>
                <c:pt idx="53">
                  <c:v>452</c:v>
                </c:pt>
                <c:pt idx="54">
                  <c:v>332</c:v>
                </c:pt>
                <c:pt idx="55">
                  <c:v>210</c:v>
                </c:pt>
                <c:pt idx="56">
                  <c:v>207</c:v>
                </c:pt>
                <c:pt idx="57">
                  <c:v>135</c:v>
                </c:pt>
                <c:pt idx="58">
                  <c:v>426</c:v>
                </c:pt>
                <c:pt idx="59">
                  <c:v>250</c:v>
                </c:pt>
                <c:pt idx="60">
                  <c:v>189</c:v>
                </c:pt>
                <c:pt idx="61">
                  <c:v>453</c:v>
                </c:pt>
                <c:pt idx="62">
                  <c:v>202</c:v>
                </c:pt>
                <c:pt idx="63">
                  <c:v>286</c:v>
                </c:pt>
                <c:pt idx="64">
                  <c:v>281</c:v>
                </c:pt>
                <c:pt idx="65">
                  <c:v>417</c:v>
                </c:pt>
                <c:pt idx="66">
                  <c:v>326</c:v>
                </c:pt>
                <c:pt idx="67">
                  <c:v>415</c:v>
                </c:pt>
                <c:pt idx="68">
                  <c:v>479</c:v>
                </c:pt>
                <c:pt idx="69">
                  <c:v>117</c:v>
                </c:pt>
                <c:pt idx="70">
                  <c:v>85</c:v>
                </c:pt>
                <c:pt idx="71">
                  <c:v>122</c:v>
                </c:pt>
                <c:pt idx="72">
                  <c:v>141</c:v>
                </c:pt>
                <c:pt idx="73">
                  <c:v>299</c:v>
                </c:pt>
                <c:pt idx="74">
                  <c:v>359</c:v>
                </c:pt>
                <c:pt idx="75">
                  <c:v>202</c:v>
                </c:pt>
                <c:pt idx="76">
                  <c:v>103</c:v>
                </c:pt>
                <c:pt idx="77">
                  <c:v>485</c:v>
                </c:pt>
                <c:pt idx="78">
                  <c:v>173</c:v>
                </c:pt>
                <c:pt idx="79">
                  <c:v>127</c:v>
                </c:pt>
                <c:pt idx="80">
                  <c:v>395</c:v>
                </c:pt>
                <c:pt idx="81">
                  <c:v>382</c:v>
                </c:pt>
                <c:pt idx="82">
                  <c:v>408</c:v>
                </c:pt>
                <c:pt idx="83">
                  <c:v>438</c:v>
                </c:pt>
                <c:pt idx="84">
                  <c:v>496</c:v>
                </c:pt>
                <c:pt idx="85">
                  <c:v>361</c:v>
                </c:pt>
                <c:pt idx="86">
                  <c:v>277</c:v>
                </c:pt>
                <c:pt idx="87">
                  <c:v>199</c:v>
                </c:pt>
                <c:pt idx="88">
                  <c:v>342</c:v>
                </c:pt>
                <c:pt idx="89">
                  <c:v>246</c:v>
                </c:pt>
                <c:pt idx="90">
                  <c:v>335</c:v>
                </c:pt>
                <c:pt idx="91">
                  <c:v>394</c:v>
                </c:pt>
                <c:pt idx="92">
                  <c:v>111</c:v>
                </c:pt>
                <c:pt idx="93">
                  <c:v>209</c:v>
                </c:pt>
                <c:pt idx="94">
                  <c:v>402</c:v>
                </c:pt>
                <c:pt idx="95">
                  <c:v>211</c:v>
                </c:pt>
                <c:pt idx="96">
                  <c:v>263</c:v>
                </c:pt>
                <c:pt idx="97">
                  <c:v>346</c:v>
                </c:pt>
                <c:pt idx="98">
                  <c:v>408</c:v>
                </c:pt>
                <c:pt idx="99">
                  <c:v>460</c:v>
                </c:pt>
              </c:numCache>
            </c:numRef>
          </c:xVal>
          <c:yVal>
            <c:numRef>
              <c:f>DASHBOARD_EJECUTIVO!$BB$5:$BB$104</c:f>
              <c:numCache>
                <c:formatCode>General</c:formatCode>
                <c:ptCount val="100"/>
                <c:pt idx="0">
                  <c:v>1.6</c:v>
                </c:pt>
                <c:pt idx="1">
                  <c:v>8.0399999999999991</c:v>
                </c:pt>
                <c:pt idx="2">
                  <c:v>8.0399999999999991</c:v>
                </c:pt>
                <c:pt idx="3">
                  <c:v>6.42</c:v>
                </c:pt>
                <c:pt idx="4">
                  <c:v>1.6</c:v>
                </c:pt>
                <c:pt idx="5">
                  <c:v>1.6</c:v>
                </c:pt>
                <c:pt idx="6">
                  <c:v>8.0399999999999991</c:v>
                </c:pt>
                <c:pt idx="7">
                  <c:v>4.01</c:v>
                </c:pt>
                <c:pt idx="8">
                  <c:v>#N/A</c:v>
                </c:pt>
                <c:pt idx="9">
                  <c:v>5.63</c:v>
                </c:pt>
                <c:pt idx="10">
                  <c:v>6.42</c:v>
                </c:pt>
                <c:pt idx="11">
                  <c:v>6.42</c:v>
                </c:pt>
                <c:pt idx="12">
                  <c:v>#N/A</c:v>
                </c:pt>
                <c:pt idx="13">
                  <c:v>1.6</c:v>
                </c:pt>
                <c:pt idx="14">
                  <c:v>1.6</c:v>
                </c:pt>
                <c:pt idx="15">
                  <c:v>1.6</c:v>
                </c:pt>
                <c:pt idx="16">
                  <c:v>1.6</c:v>
                </c:pt>
                <c:pt idx="17">
                  <c:v>1.6</c:v>
                </c:pt>
                <c:pt idx="18">
                  <c:v>5.63</c:v>
                </c:pt>
                <c:pt idx="19">
                  <c:v>1.6</c:v>
                </c:pt>
                <c:pt idx="20">
                  <c:v>5.63</c:v>
                </c:pt>
                <c:pt idx="21">
                  <c:v>2.0099999999999998</c:v>
                </c:pt>
                <c:pt idx="22">
                  <c:v>1.6</c:v>
                </c:pt>
                <c:pt idx="23">
                  <c:v>4.82</c:v>
                </c:pt>
                <c:pt idx="24">
                  <c:v>#N/A</c:v>
                </c:pt>
                <c:pt idx="25">
                  <c:v>3.61</c:v>
                </c:pt>
                <c:pt idx="26">
                  <c:v>2.0099999999999998</c:v>
                </c:pt>
                <c:pt idx="27">
                  <c:v>1.6</c:v>
                </c:pt>
                <c:pt idx="28">
                  <c:v>#N/A</c:v>
                </c:pt>
                <c:pt idx="29">
                  <c:v>1.6</c:v>
                </c:pt>
                <c:pt idx="30">
                  <c:v>4.01</c:v>
                </c:pt>
                <c:pt idx="31">
                  <c:v>1.6</c:v>
                </c:pt>
                <c:pt idx="32">
                  <c:v>1.6</c:v>
                </c:pt>
                <c:pt idx="33">
                  <c:v>#N/A</c:v>
                </c:pt>
                <c:pt idx="34">
                  <c:v>#N/A</c:v>
                </c:pt>
                <c:pt idx="35">
                  <c:v>4.01</c:v>
                </c:pt>
                <c:pt idx="36">
                  <c:v>6.42</c:v>
                </c:pt>
                <c:pt idx="37">
                  <c:v>3.61</c:v>
                </c:pt>
                <c:pt idx="38">
                  <c:v>5.63</c:v>
                </c:pt>
                <c:pt idx="39">
                  <c:v>1.6</c:v>
                </c:pt>
                <c:pt idx="40">
                  <c:v>1.6</c:v>
                </c:pt>
                <c:pt idx="41">
                  <c:v>1.6</c:v>
                </c:pt>
                <c:pt idx="42">
                  <c:v>6.42</c:v>
                </c:pt>
                <c:pt idx="43">
                  <c:v>#N/A</c:v>
                </c:pt>
                <c:pt idx="44">
                  <c:v>2.0099999999999998</c:v>
                </c:pt>
                <c:pt idx="45">
                  <c:v>6.42</c:v>
                </c:pt>
                <c:pt idx="46">
                  <c:v>2.0099999999999998</c:v>
                </c:pt>
                <c:pt idx="47">
                  <c:v>1.6</c:v>
                </c:pt>
                <c:pt idx="48">
                  <c:v>8.0399999999999991</c:v>
                </c:pt>
                <c:pt idx="49">
                  <c:v>1.6</c:v>
                </c:pt>
                <c:pt idx="50">
                  <c:v>#N/A</c:v>
                </c:pt>
                <c:pt idx="51">
                  <c:v>5.63</c:v>
                </c:pt>
                <c:pt idx="52">
                  <c:v>3.61</c:v>
                </c:pt>
                <c:pt idx="53">
                  <c:v>#N/A</c:v>
                </c:pt>
                <c:pt idx="54">
                  <c:v>5.63</c:v>
                </c:pt>
                <c:pt idx="55">
                  <c:v>4.82</c:v>
                </c:pt>
                <c:pt idx="56">
                  <c:v>3.61</c:v>
                </c:pt>
                <c:pt idx="57">
                  <c:v>2.0099999999999998</c:v>
                </c:pt>
                <c:pt idx="58">
                  <c:v>1.6</c:v>
                </c:pt>
                <c:pt idx="59">
                  <c:v>1.6</c:v>
                </c:pt>
                <c:pt idx="60">
                  <c:v>1.6</c:v>
                </c:pt>
                <c:pt idx="61">
                  <c:v>1.6</c:v>
                </c:pt>
                <c:pt idx="62">
                  <c:v>3.61</c:v>
                </c:pt>
                <c:pt idx="63">
                  <c:v>3.61</c:v>
                </c:pt>
                <c:pt idx="64">
                  <c:v>8.0399999999999991</c:v>
                </c:pt>
                <c:pt idx="65">
                  <c:v>#N/A</c:v>
                </c:pt>
                <c:pt idx="66">
                  <c:v>8.0399999999999991</c:v>
                </c:pt>
                <c:pt idx="67">
                  <c:v>#N/A</c:v>
                </c:pt>
                <c:pt idx="68">
                  <c:v>2.0099999999999998</c:v>
                </c:pt>
                <c:pt idx="69">
                  <c:v>4.82</c:v>
                </c:pt>
                <c:pt idx="70">
                  <c:v>4.82</c:v>
                </c:pt>
                <c:pt idx="71">
                  <c:v>8.0399999999999991</c:v>
                </c:pt>
                <c:pt idx="72">
                  <c:v>1.6</c:v>
                </c:pt>
                <c:pt idx="73">
                  <c:v>8.0399999999999991</c:v>
                </c:pt>
                <c:pt idx="74">
                  <c:v>#N/A</c:v>
                </c:pt>
                <c:pt idx="75">
                  <c:v>4.01</c:v>
                </c:pt>
                <c:pt idx="76">
                  <c:v>4.82</c:v>
                </c:pt>
                <c:pt idx="77">
                  <c:v>#N/A</c:v>
                </c:pt>
                <c:pt idx="78">
                  <c:v>4.82</c:v>
                </c:pt>
                <c:pt idx="79">
                  <c:v>1.6</c:v>
                </c:pt>
                <c:pt idx="80">
                  <c:v>#N/A</c:v>
                </c:pt>
                <c:pt idx="81">
                  <c:v>#N/A</c:v>
                </c:pt>
                <c:pt idx="82">
                  <c:v>#N/A</c:v>
                </c:pt>
                <c:pt idx="83">
                  <c:v>#N/A</c:v>
                </c:pt>
                <c:pt idx="84">
                  <c:v>2.0099999999999998</c:v>
                </c:pt>
                <c:pt idx="85">
                  <c:v>#N/A</c:v>
                </c:pt>
                <c:pt idx="86">
                  <c:v>4.82</c:v>
                </c:pt>
                <c:pt idx="87">
                  <c:v>5.63</c:v>
                </c:pt>
                <c:pt idx="88">
                  <c:v>4.01</c:v>
                </c:pt>
                <c:pt idx="89">
                  <c:v>5.63</c:v>
                </c:pt>
                <c:pt idx="90">
                  <c:v>2.0099999999999998</c:v>
                </c:pt>
                <c:pt idx="91">
                  <c:v>#N/A</c:v>
                </c:pt>
                <c:pt idx="92">
                  <c:v>8.0399999999999991</c:v>
                </c:pt>
                <c:pt idx="93">
                  <c:v>8.0399999999999991</c:v>
                </c:pt>
                <c:pt idx="94">
                  <c:v>#N/A</c:v>
                </c:pt>
                <c:pt idx="95">
                  <c:v>5.63</c:v>
                </c:pt>
                <c:pt idx="96">
                  <c:v>8.0399999999999991</c:v>
                </c:pt>
                <c:pt idx="97">
                  <c:v>8.0399999999999991</c:v>
                </c:pt>
                <c:pt idx="98">
                  <c:v>1.6</c:v>
                </c:pt>
                <c:pt idx="99">
                  <c:v>1.6</c:v>
                </c:pt>
              </c:numCache>
            </c:numRef>
          </c:yVal>
          <c:smooth val="0"/>
          <c:extLst>
            <c:ext xmlns:c16="http://schemas.microsoft.com/office/drawing/2014/chart" uri="{C3380CC4-5D6E-409C-BE32-E72D297353CC}">
              <c16:uniqueId val="{00000000-CC02-497E-83BE-FB89B7943E3C}"/>
            </c:ext>
          </c:extLst>
        </c:ser>
        <c:ser>
          <c:idx val="1"/>
          <c:order val="1"/>
          <c:tx>
            <c:strRef>
              <c:f>DASHBOARD_EJECUTIVO!$BC$4</c:f>
              <c:strCache>
                <c:ptCount val="1"/>
                <c:pt idx="0">
                  <c:v>CANDIDATOS CRÍTICOS (A + zona lejana)</c:v>
                </c:pt>
              </c:strCache>
            </c:strRef>
          </c:tx>
          <c:spPr>
            <a:ln w="28575" cap="rnd">
              <a:noFill/>
              <a:round/>
            </a:ln>
            <a:effectLst/>
          </c:spPr>
          <c:marker>
            <c:symbol val="circle"/>
            <c:size val="9"/>
            <c:spPr>
              <a:solidFill>
                <a:srgbClr val="C00000"/>
              </a:solidFill>
              <a:ln w="9525">
                <a:solidFill>
                  <a:srgbClr val="C00000"/>
                </a:solidFill>
                <a:prstDash val="solid"/>
              </a:ln>
              <a:effectLst/>
            </c:spPr>
          </c:marker>
          <c:xVal>
            <c:numRef>
              <c:f>DASHBOARD_EJECUTIVO!$BA$5:$BA$104</c:f>
              <c:numCache>
                <c:formatCode>General</c:formatCode>
                <c:ptCount val="100"/>
                <c:pt idx="0">
                  <c:v>422</c:v>
                </c:pt>
                <c:pt idx="1">
                  <c:v>236</c:v>
                </c:pt>
                <c:pt idx="2">
                  <c:v>231</c:v>
                </c:pt>
                <c:pt idx="3">
                  <c:v>208</c:v>
                </c:pt>
                <c:pt idx="4">
                  <c:v>465</c:v>
                </c:pt>
                <c:pt idx="5">
                  <c:v>161</c:v>
                </c:pt>
                <c:pt idx="6">
                  <c:v>102</c:v>
                </c:pt>
                <c:pt idx="7">
                  <c:v>236</c:v>
                </c:pt>
                <c:pt idx="8">
                  <c:v>432</c:v>
                </c:pt>
                <c:pt idx="9">
                  <c:v>316</c:v>
                </c:pt>
                <c:pt idx="10">
                  <c:v>219</c:v>
                </c:pt>
                <c:pt idx="11">
                  <c:v>150</c:v>
                </c:pt>
                <c:pt idx="12">
                  <c:v>398</c:v>
                </c:pt>
                <c:pt idx="13">
                  <c:v>352</c:v>
                </c:pt>
                <c:pt idx="14">
                  <c:v>401</c:v>
                </c:pt>
                <c:pt idx="15">
                  <c:v>302</c:v>
                </c:pt>
                <c:pt idx="16">
                  <c:v>314</c:v>
                </c:pt>
                <c:pt idx="17">
                  <c:v>451</c:v>
                </c:pt>
                <c:pt idx="18">
                  <c:v>186</c:v>
                </c:pt>
                <c:pt idx="19">
                  <c:v>399</c:v>
                </c:pt>
                <c:pt idx="20">
                  <c:v>167</c:v>
                </c:pt>
                <c:pt idx="21">
                  <c:v>298</c:v>
                </c:pt>
                <c:pt idx="22">
                  <c:v>186</c:v>
                </c:pt>
                <c:pt idx="23">
                  <c:v>171</c:v>
                </c:pt>
                <c:pt idx="24">
                  <c:v>439</c:v>
                </c:pt>
                <c:pt idx="25">
                  <c:v>484</c:v>
                </c:pt>
                <c:pt idx="26">
                  <c:v>72</c:v>
                </c:pt>
                <c:pt idx="27">
                  <c:v>353</c:v>
                </c:pt>
                <c:pt idx="28">
                  <c:v>419</c:v>
                </c:pt>
                <c:pt idx="29">
                  <c:v>450</c:v>
                </c:pt>
                <c:pt idx="30">
                  <c:v>135</c:v>
                </c:pt>
                <c:pt idx="31">
                  <c:v>296</c:v>
                </c:pt>
                <c:pt idx="32">
                  <c:v>201</c:v>
                </c:pt>
                <c:pt idx="33">
                  <c:v>431</c:v>
                </c:pt>
                <c:pt idx="34">
                  <c:v>448</c:v>
                </c:pt>
                <c:pt idx="35">
                  <c:v>338</c:v>
                </c:pt>
                <c:pt idx="36">
                  <c:v>294</c:v>
                </c:pt>
                <c:pt idx="37">
                  <c:v>74</c:v>
                </c:pt>
                <c:pt idx="38">
                  <c:v>314</c:v>
                </c:pt>
                <c:pt idx="39">
                  <c:v>266</c:v>
                </c:pt>
                <c:pt idx="40">
                  <c:v>265</c:v>
                </c:pt>
                <c:pt idx="41">
                  <c:v>84</c:v>
                </c:pt>
                <c:pt idx="42">
                  <c:v>340</c:v>
                </c:pt>
                <c:pt idx="43">
                  <c:v>425</c:v>
                </c:pt>
                <c:pt idx="44">
                  <c:v>426</c:v>
                </c:pt>
                <c:pt idx="45">
                  <c:v>300</c:v>
                </c:pt>
                <c:pt idx="46">
                  <c:v>406</c:v>
                </c:pt>
                <c:pt idx="47">
                  <c:v>61</c:v>
                </c:pt>
                <c:pt idx="48">
                  <c:v>315</c:v>
                </c:pt>
                <c:pt idx="49">
                  <c:v>363</c:v>
                </c:pt>
                <c:pt idx="50">
                  <c:v>423</c:v>
                </c:pt>
                <c:pt idx="51">
                  <c:v>227</c:v>
                </c:pt>
                <c:pt idx="52">
                  <c:v>382</c:v>
                </c:pt>
                <c:pt idx="53">
                  <c:v>452</c:v>
                </c:pt>
                <c:pt idx="54">
                  <c:v>332</c:v>
                </c:pt>
                <c:pt idx="55">
                  <c:v>210</c:v>
                </c:pt>
                <c:pt idx="56">
                  <c:v>207</c:v>
                </c:pt>
                <c:pt idx="57">
                  <c:v>135</c:v>
                </c:pt>
                <c:pt idx="58">
                  <c:v>426</c:v>
                </c:pt>
                <c:pt idx="59">
                  <c:v>250</c:v>
                </c:pt>
                <c:pt idx="60">
                  <c:v>189</c:v>
                </c:pt>
                <c:pt idx="61">
                  <c:v>453</c:v>
                </c:pt>
                <c:pt idx="62">
                  <c:v>202</c:v>
                </c:pt>
                <c:pt idx="63">
                  <c:v>286</c:v>
                </c:pt>
                <c:pt idx="64">
                  <c:v>281</c:v>
                </c:pt>
                <c:pt idx="65">
                  <c:v>417</c:v>
                </c:pt>
                <c:pt idx="66">
                  <c:v>326</c:v>
                </c:pt>
                <c:pt idx="67">
                  <c:v>415</c:v>
                </c:pt>
                <c:pt idx="68">
                  <c:v>479</c:v>
                </c:pt>
                <c:pt idx="69">
                  <c:v>117</c:v>
                </c:pt>
                <c:pt idx="70">
                  <c:v>85</c:v>
                </c:pt>
                <c:pt idx="71">
                  <c:v>122</c:v>
                </c:pt>
                <c:pt idx="72">
                  <c:v>141</c:v>
                </c:pt>
                <c:pt idx="73">
                  <c:v>299</c:v>
                </c:pt>
                <c:pt idx="74">
                  <c:v>359</c:v>
                </c:pt>
                <c:pt idx="75">
                  <c:v>202</c:v>
                </c:pt>
                <c:pt idx="76">
                  <c:v>103</c:v>
                </c:pt>
                <c:pt idx="77">
                  <c:v>485</c:v>
                </c:pt>
                <c:pt idx="78">
                  <c:v>173</c:v>
                </c:pt>
                <c:pt idx="79">
                  <c:v>127</c:v>
                </c:pt>
                <c:pt idx="80">
                  <c:v>395</c:v>
                </c:pt>
                <c:pt idx="81">
                  <c:v>382</c:v>
                </c:pt>
                <c:pt idx="82">
                  <c:v>408</c:v>
                </c:pt>
                <c:pt idx="83">
                  <c:v>438</c:v>
                </c:pt>
                <c:pt idx="84">
                  <c:v>496</c:v>
                </c:pt>
                <c:pt idx="85">
                  <c:v>361</c:v>
                </c:pt>
                <c:pt idx="86">
                  <c:v>277</c:v>
                </c:pt>
                <c:pt idx="87">
                  <c:v>199</c:v>
                </c:pt>
                <c:pt idx="88">
                  <c:v>342</c:v>
                </c:pt>
                <c:pt idx="89">
                  <c:v>246</c:v>
                </c:pt>
                <c:pt idx="90">
                  <c:v>335</c:v>
                </c:pt>
                <c:pt idx="91">
                  <c:v>394</c:v>
                </c:pt>
                <c:pt idx="92">
                  <c:v>111</c:v>
                </c:pt>
                <c:pt idx="93">
                  <c:v>209</c:v>
                </c:pt>
                <c:pt idx="94">
                  <c:v>402</c:v>
                </c:pt>
                <c:pt idx="95">
                  <c:v>211</c:v>
                </c:pt>
                <c:pt idx="96">
                  <c:v>263</c:v>
                </c:pt>
                <c:pt idx="97">
                  <c:v>346</c:v>
                </c:pt>
                <c:pt idx="98">
                  <c:v>408</c:v>
                </c:pt>
                <c:pt idx="99">
                  <c:v>460</c:v>
                </c:pt>
              </c:numCache>
            </c:numRef>
          </c:xVal>
          <c:yVal>
            <c:numRef>
              <c:f>DASHBOARD_EJECUTIVO!$BC$5:$BC$104</c:f>
              <c:numCache>
                <c:formatCode>General</c:formatCode>
                <c:ptCount val="100"/>
                <c:pt idx="0">
                  <c:v>#N/A</c:v>
                </c:pt>
                <c:pt idx="1">
                  <c:v>#N/A</c:v>
                </c:pt>
                <c:pt idx="2">
                  <c:v>#N/A</c:v>
                </c:pt>
                <c:pt idx="3">
                  <c:v>#N/A</c:v>
                </c:pt>
                <c:pt idx="4">
                  <c:v>#N/A</c:v>
                </c:pt>
                <c:pt idx="5">
                  <c:v>#N/A</c:v>
                </c:pt>
                <c:pt idx="6">
                  <c:v>#N/A</c:v>
                </c:pt>
                <c:pt idx="7">
                  <c:v>#N/A</c:v>
                </c:pt>
                <c:pt idx="8">
                  <c:v>4.82</c:v>
                </c:pt>
                <c:pt idx="9">
                  <c:v>#N/A</c:v>
                </c:pt>
                <c:pt idx="10">
                  <c:v>#N/A</c:v>
                </c:pt>
                <c:pt idx="11">
                  <c:v>#N/A</c:v>
                </c:pt>
                <c:pt idx="12">
                  <c:v>5.63</c:v>
                </c:pt>
                <c:pt idx="13">
                  <c:v>#N/A</c:v>
                </c:pt>
                <c:pt idx="14">
                  <c:v>#N/A</c:v>
                </c:pt>
                <c:pt idx="15">
                  <c:v>#N/A</c:v>
                </c:pt>
                <c:pt idx="16">
                  <c:v>#N/A</c:v>
                </c:pt>
                <c:pt idx="17">
                  <c:v>#N/A</c:v>
                </c:pt>
                <c:pt idx="18">
                  <c:v>#N/A</c:v>
                </c:pt>
                <c:pt idx="19">
                  <c:v>#N/A</c:v>
                </c:pt>
                <c:pt idx="20">
                  <c:v>#N/A</c:v>
                </c:pt>
                <c:pt idx="21">
                  <c:v>#N/A</c:v>
                </c:pt>
                <c:pt idx="22">
                  <c:v>#N/A</c:v>
                </c:pt>
                <c:pt idx="23">
                  <c:v>#N/A</c:v>
                </c:pt>
                <c:pt idx="24">
                  <c:v>5.63</c:v>
                </c:pt>
                <c:pt idx="25">
                  <c:v>#N/A</c:v>
                </c:pt>
                <c:pt idx="26">
                  <c:v>#N/A</c:v>
                </c:pt>
                <c:pt idx="27">
                  <c:v>#N/A</c:v>
                </c:pt>
                <c:pt idx="28">
                  <c:v>4.82</c:v>
                </c:pt>
                <c:pt idx="29">
                  <c:v>#N/A</c:v>
                </c:pt>
                <c:pt idx="30">
                  <c:v>#N/A</c:v>
                </c:pt>
                <c:pt idx="31">
                  <c:v>#N/A</c:v>
                </c:pt>
                <c:pt idx="32">
                  <c:v>#N/A</c:v>
                </c:pt>
                <c:pt idx="33">
                  <c:v>6.42</c:v>
                </c:pt>
                <c:pt idx="34">
                  <c:v>5.63</c:v>
                </c:pt>
                <c:pt idx="35">
                  <c:v>#N/A</c:v>
                </c:pt>
                <c:pt idx="36">
                  <c:v>#N/A</c:v>
                </c:pt>
                <c:pt idx="37">
                  <c:v>#N/A</c:v>
                </c:pt>
                <c:pt idx="38">
                  <c:v>#N/A</c:v>
                </c:pt>
                <c:pt idx="39">
                  <c:v>#N/A</c:v>
                </c:pt>
                <c:pt idx="40">
                  <c:v>#N/A</c:v>
                </c:pt>
                <c:pt idx="41">
                  <c:v>#N/A</c:v>
                </c:pt>
                <c:pt idx="42">
                  <c:v>#N/A</c:v>
                </c:pt>
                <c:pt idx="43">
                  <c:v>5.63</c:v>
                </c:pt>
                <c:pt idx="44">
                  <c:v>#N/A</c:v>
                </c:pt>
                <c:pt idx="45">
                  <c:v>#N/A</c:v>
                </c:pt>
                <c:pt idx="46">
                  <c:v>#N/A</c:v>
                </c:pt>
                <c:pt idx="47">
                  <c:v>#N/A</c:v>
                </c:pt>
                <c:pt idx="48">
                  <c:v>#N/A</c:v>
                </c:pt>
                <c:pt idx="49">
                  <c:v>#N/A</c:v>
                </c:pt>
                <c:pt idx="50">
                  <c:v>4.82</c:v>
                </c:pt>
                <c:pt idx="51">
                  <c:v>#N/A</c:v>
                </c:pt>
                <c:pt idx="52">
                  <c:v>#N/A</c:v>
                </c:pt>
                <c:pt idx="53">
                  <c:v>5.63</c:v>
                </c:pt>
                <c:pt idx="54">
                  <c:v>#N/A</c:v>
                </c:pt>
                <c:pt idx="55">
                  <c:v>#N/A</c:v>
                </c:pt>
                <c:pt idx="56">
                  <c:v>#N/A</c:v>
                </c:pt>
                <c:pt idx="57">
                  <c:v>#N/A</c:v>
                </c:pt>
                <c:pt idx="58">
                  <c:v>#N/A</c:v>
                </c:pt>
                <c:pt idx="59">
                  <c:v>#N/A</c:v>
                </c:pt>
                <c:pt idx="60">
                  <c:v>#N/A</c:v>
                </c:pt>
                <c:pt idx="61">
                  <c:v>#N/A</c:v>
                </c:pt>
                <c:pt idx="62">
                  <c:v>#N/A</c:v>
                </c:pt>
                <c:pt idx="63">
                  <c:v>#N/A</c:v>
                </c:pt>
                <c:pt idx="64">
                  <c:v>#N/A</c:v>
                </c:pt>
                <c:pt idx="65">
                  <c:v>5.63</c:v>
                </c:pt>
                <c:pt idx="66">
                  <c:v>#N/A</c:v>
                </c:pt>
                <c:pt idx="67">
                  <c:v>6.42</c:v>
                </c:pt>
                <c:pt idx="68">
                  <c:v>#N/A</c:v>
                </c:pt>
                <c:pt idx="69">
                  <c:v>#N/A</c:v>
                </c:pt>
                <c:pt idx="70">
                  <c:v>#N/A</c:v>
                </c:pt>
                <c:pt idx="71">
                  <c:v>#N/A</c:v>
                </c:pt>
                <c:pt idx="72">
                  <c:v>#N/A</c:v>
                </c:pt>
                <c:pt idx="73">
                  <c:v>#N/A</c:v>
                </c:pt>
                <c:pt idx="74">
                  <c:v>6.42</c:v>
                </c:pt>
                <c:pt idx="75">
                  <c:v>#N/A</c:v>
                </c:pt>
                <c:pt idx="76">
                  <c:v>#N/A</c:v>
                </c:pt>
                <c:pt idx="77">
                  <c:v>8.0399999999999991</c:v>
                </c:pt>
                <c:pt idx="78">
                  <c:v>#N/A</c:v>
                </c:pt>
                <c:pt idx="79">
                  <c:v>#N/A</c:v>
                </c:pt>
                <c:pt idx="80">
                  <c:v>4.01</c:v>
                </c:pt>
                <c:pt idx="81">
                  <c:v>4.82</c:v>
                </c:pt>
                <c:pt idx="82">
                  <c:v>8.0399999999999991</c:v>
                </c:pt>
                <c:pt idx="83">
                  <c:v>6.42</c:v>
                </c:pt>
                <c:pt idx="84">
                  <c:v>#N/A</c:v>
                </c:pt>
                <c:pt idx="85">
                  <c:v>8.0399999999999991</c:v>
                </c:pt>
                <c:pt idx="86">
                  <c:v>#N/A</c:v>
                </c:pt>
                <c:pt idx="87">
                  <c:v>#N/A</c:v>
                </c:pt>
                <c:pt idx="88">
                  <c:v>#N/A</c:v>
                </c:pt>
                <c:pt idx="89">
                  <c:v>#N/A</c:v>
                </c:pt>
                <c:pt idx="90">
                  <c:v>#N/A</c:v>
                </c:pt>
                <c:pt idx="91">
                  <c:v>4.01</c:v>
                </c:pt>
                <c:pt idx="92">
                  <c:v>#N/A</c:v>
                </c:pt>
                <c:pt idx="93">
                  <c:v>#N/A</c:v>
                </c:pt>
                <c:pt idx="94">
                  <c:v>4.82</c:v>
                </c:pt>
                <c:pt idx="95">
                  <c:v>#N/A</c:v>
                </c:pt>
                <c:pt idx="96">
                  <c:v>#N/A</c:v>
                </c:pt>
                <c:pt idx="97">
                  <c:v>#N/A</c:v>
                </c:pt>
                <c:pt idx="98">
                  <c:v>#N/A</c:v>
                </c:pt>
                <c:pt idx="99">
                  <c:v>#N/A</c:v>
                </c:pt>
              </c:numCache>
            </c:numRef>
          </c:yVal>
          <c:smooth val="0"/>
          <c:extLst>
            <c:ext xmlns:c16="http://schemas.microsoft.com/office/drawing/2014/chart" uri="{C3380CC4-5D6E-409C-BE32-E72D297353CC}">
              <c16:uniqueId val="{00000001-CC02-497E-83BE-FB89B7943E3C}"/>
            </c:ext>
          </c:extLst>
        </c:ser>
        <c:dLbls>
          <c:showLegendKey val="0"/>
          <c:showVal val="0"/>
          <c:showCatName val="0"/>
          <c:showSerName val="0"/>
          <c:showPercent val="0"/>
          <c:showBubbleSize val="0"/>
        </c:dLbls>
        <c:axId val="261217264"/>
        <c:axId val="286061264"/>
      </c:scatterChart>
      <c:valAx>
        <c:axId val="261217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Rotación (unid. despachadas 6M)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86061264"/>
        <c:crosses val="autoZero"/>
        <c:crossBetween val="midCat"/>
      </c:valAx>
      <c:valAx>
        <c:axId val="286061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Tiempo de acceso (min)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6121726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r>
              <a:rPr lang="en-US"/>
              <a:t>Distribución de peso por familia (kg) — mín · Q1 · mediana · Q3 · máx</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endParaRPr lang="es-PE"/>
        </a:p>
      </c:txPr>
    </c:title>
    <c:autoTitleDeleted val="0"/>
    <c:plotArea>
      <c:layout/>
      <c:barChart>
        <c:barDir val="col"/>
        <c:grouping val="stacked"/>
        <c:varyColors val="0"/>
        <c:ser>
          <c:idx val="0"/>
          <c:order val="0"/>
          <c:tx>
            <c:strRef>
              <c:f>DASHBOARD_EJECUTIVO!$BF$4</c:f>
              <c:strCache>
                <c:ptCount val="1"/>
                <c:pt idx="0">
                  <c:v>(base mín)</c:v>
                </c:pt>
              </c:strCache>
            </c:strRef>
          </c:tx>
          <c:spPr>
            <a:noFill/>
            <a:ln>
              <a:noFill/>
            </a:ln>
            <a:effectLst/>
          </c:spPr>
          <c:invertIfNegative val="0"/>
          <c:cat>
            <c:strRef>
              <c:f>DASHBOARD_EJECUTIVO!$BE$5:$BE$9</c:f>
              <c:strCache>
                <c:ptCount val="5"/>
                <c:pt idx="0">
                  <c:v>Filtros</c:v>
                </c:pt>
                <c:pt idx="1">
                  <c:v>Lubricantes</c:v>
                </c:pt>
                <c:pt idx="2">
                  <c:v>Pastillas</c:v>
                </c:pt>
                <c:pt idx="3">
                  <c:v>Correas</c:v>
                </c:pt>
                <c:pt idx="4">
                  <c:v>Soportes</c:v>
                </c:pt>
              </c:strCache>
            </c:strRef>
          </c:cat>
          <c:val>
            <c:numRef>
              <c:f>DASHBOARD_EJECUTIVO!$BF$5:$BF$9</c:f>
              <c:numCache>
                <c:formatCode>General</c:formatCode>
                <c:ptCount val="5"/>
                <c:pt idx="0">
                  <c:v>2.055744691493345</c:v>
                </c:pt>
                <c:pt idx="1">
                  <c:v>1.32109753192888</c:v>
                </c:pt>
                <c:pt idx="2">
                  <c:v>6.4333356830172992</c:v>
                </c:pt>
                <c:pt idx="3">
                  <c:v>0.84413046129393976</c:v>
                </c:pt>
                <c:pt idx="4">
                  <c:v>4.3105055365252536</c:v>
                </c:pt>
              </c:numCache>
            </c:numRef>
          </c:val>
          <c:extLst>
            <c:ext xmlns:c16="http://schemas.microsoft.com/office/drawing/2014/chart" uri="{C3380CC4-5D6E-409C-BE32-E72D297353CC}">
              <c16:uniqueId val="{00000000-4EE6-4B3F-AB91-945EE0CF2255}"/>
            </c:ext>
          </c:extLst>
        </c:ser>
        <c:ser>
          <c:idx val="1"/>
          <c:order val="1"/>
          <c:tx>
            <c:strRef>
              <c:f>DASHBOARD_EJECUTIVO!$BG$4</c:f>
              <c:strCache>
                <c:ptCount val="1"/>
                <c:pt idx="0">
                  <c:v>Bigote inf.</c:v>
                </c:pt>
              </c:strCache>
            </c:strRef>
          </c:tx>
          <c:spPr>
            <a:solidFill>
              <a:srgbClr val="D9D9D9"/>
            </a:solidFill>
            <a:ln>
              <a:noFill/>
            </a:ln>
            <a:effectLst/>
          </c:spPr>
          <c:invertIfNegative val="0"/>
          <c:cat>
            <c:strRef>
              <c:f>DASHBOARD_EJECUTIVO!$BE$5:$BE$9</c:f>
              <c:strCache>
                <c:ptCount val="5"/>
                <c:pt idx="0">
                  <c:v>Filtros</c:v>
                </c:pt>
                <c:pt idx="1">
                  <c:v>Lubricantes</c:v>
                </c:pt>
                <c:pt idx="2">
                  <c:v>Pastillas</c:v>
                </c:pt>
                <c:pt idx="3">
                  <c:v>Correas</c:v>
                </c:pt>
                <c:pt idx="4">
                  <c:v>Soportes</c:v>
                </c:pt>
              </c:strCache>
            </c:strRef>
          </c:cat>
          <c:val>
            <c:numRef>
              <c:f>DASHBOARD_EJECUTIVO!$BG$5:$BG$9</c:f>
              <c:numCache>
                <c:formatCode>General</c:formatCode>
                <c:ptCount val="5"/>
                <c:pt idx="0">
                  <c:v>10.694663300613454</c:v>
                </c:pt>
                <c:pt idx="1">
                  <c:v>11.490898597591551</c:v>
                </c:pt>
                <c:pt idx="2">
                  <c:v>9.762698591132688</c:v>
                </c:pt>
                <c:pt idx="3">
                  <c:v>10.952886650657025</c:v>
                </c:pt>
                <c:pt idx="4">
                  <c:v>8.7584994922929855</c:v>
                </c:pt>
              </c:numCache>
            </c:numRef>
          </c:val>
          <c:extLst>
            <c:ext xmlns:c16="http://schemas.microsoft.com/office/drawing/2014/chart" uri="{C3380CC4-5D6E-409C-BE32-E72D297353CC}">
              <c16:uniqueId val="{00000001-4EE6-4B3F-AB91-945EE0CF2255}"/>
            </c:ext>
          </c:extLst>
        </c:ser>
        <c:ser>
          <c:idx val="2"/>
          <c:order val="2"/>
          <c:tx>
            <c:strRef>
              <c:f>DASHBOARD_EJECUTIVO!$BH$4</c:f>
              <c:strCache>
                <c:ptCount val="1"/>
                <c:pt idx="0">
                  <c:v>Q1 → Mediana</c:v>
                </c:pt>
              </c:strCache>
            </c:strRef>
          </c:tx>
          <c:spPr>
            <a:solidFill>
              <a:srgbClr val="2E5496"/>
            </a:solidFill>
            <a:ln>
              <a:noFill/>
            </a:ln>
            <a:effectLst/>
          </c:spPr>
          <c:invertIfNegative val="0"/>
          <c:cat>
            <c:strRef>
              <c:f>DASHBOARD_EJECUTIVO!$BE$5:$BE$9</c:f>
              <c:strCache>
                <c:ptCount val="5"/>
                <c:pt idx="0">
                  <c:v>Filtros</c:v>
                </c:pt>
                <c:pt idx="1">
                  <c:v>Lubricantes</c:v>
                </c:pt>
                <c:pt idx="2">
                  <c:v>Pastillas</c:v>
                </c:pt>
                <c:pt idx="3">
                  <c:v>Correas</c:v>
                </c:pt>
                <c:pt idx="4">
                  <c:v>Soportes</c:v>
                </c:pt>
              </c:strCache>
            </c:strRef>
          </c:cat>
          <c:val>
            <c:numRef>
              <c:f>DASHBOARD_EJECUTIVO!$BH$5:$BH$9</c:f>
              <c:numCache>
                <c:formatCode>General</c:formatCode>
                <c:ptCount val="5"/>
                <c:pt idx="0">
                  <c:v>5.4951615143580685</c:v>
                </c:pt>
                <c:pt idx="1">
                  <c:v>18.424290443673105</c:v>
                </c:pt>
                <c:pt idx="2">
                  <c:v>10.719489005843908</c:v>
                </c:pt>
                <c:pt idx="3">
                  <c:v>9.8167713638062466</c:v>
                </c:pt>
                <c:pt idx="4">
                  <c:v>13.420711197388865</c:v>
                </c:pt>
              </c:numCache>
            </c:numRef>
          </c:val>
          <c:extLst>
            <c:ext xmlns:c16="http://schemas.microsoft.com/office/drawing/2014/chart" uri="{C3380CC4-5D6E-409C-BE32-E72D297353CC}">
              <c16:uniqueId val="{00000002-4EE6-4B3F-AB91-945EE0CF2255}"/>
            </c:ext>
          </c:extLst>
        </c:ser>
        <c:ser>
          <c:idx val="3"/>
          <c:order val="3"/>
          <c:tx>
            <c:strRef>
              <c:f>DASHBOARD_EJECUTIVO!$BI$4</c:f>
              <c:strCache>
                <c:ptCount val="1"/>
                <c:pt idx="0">
                  <c:v>Mediana → Q3</c:v>
                </c:pt>
              </c:strCache>
            </c:strRef>
          </c:tx>
          <c:spPr>
            <a:solidFill>
              <a:srgbClr val="8EA9DB"/>
            </a:solidFill>
            <a:ln>
              <a:noFill/>
            </a:ln>
            <a:effectLst/>
          </c:spPr>
          <c:invertIfNegative val="0"/>
          <c:cat>
            <c:strRef>
              <c:f>DASHBOARD_EJECUTIVO!$BE$5:$BE$9</c:f>
              <c:strCache>
                <c:ptCount val="5"/>
                <c:pt idx="0">
                  <c:v>Filtros</c:v>
                </c:pt>
                <c:pt idx="1">
                  <c:v>Lubricantes</c:v>
                </c:pt>
                <c:pt idx="2">
                  <c:v>Pastillas</c:v>
                </c:pt>
                <c:pt idx="3">
                  <c:v>Correas</c:v>
                </c:pt>
                <c:pt idx="4">
                  <c:v>Soportes</c:v>
                </c:pt>
              </c:strCache>
            </c:strRef>
          </c:cat>
          <c:val>
            <c:numRef>
              <c:f>DASHBOARD_EJECUTIVO!$BI$5:$BI$9</c:f>
              <c:numCache>
                <c:formatCode>General</c:formatCode>
                <c:ptCount val="5"/>
                <c:pt idx="0">
                  <c:v>17.401079347085144</c:v>
                </c:pt>
                <c:pt idx="1">
                  <c:v>6.1602599564906448</c:v>
                </c:pt>
                <c:pt idx="2">
                  <c:v>12.511145906881996</c:v>
                </c:pt>
                <c:pt idx="3">
                  <c:v>12.390592822622523</c:v>
                </c:pt>
                <c:pt idx="4">
                  <c:v>10.69627559599628</c:v>
                </c:pt>
              </c:numCache>
            </c:numRef>
          </c:val>
          <c:extLst>
            <c:ext xmlns:c16="http://schemas.microsoft.com/office/drawing/2014/chart" uri="{C3380CC4-5D6E-409C-BE32-E72D297353CC}">
              <c16:uniqueId val="{00000003-4EE6-4B3F-AB91-945EE0CF2255}"/>
            </c:ext>
          </c:extLst>
        </c:ser>
        <c:ser>
          <c:idx val="4"/>
          <c:order val="4"/>
          <c:tx>
            <c:strRef>
              <c:f>DASHBOARD_EJECUTIVO!$BJ$4</c:f>
              <c:strCache>
                <c:ptCount val="1"/>
                <c:pt idx="0">
                  <c:v>Bigote sup.</c:v>
                </c:pt>
              </c:strCache>
            </c:strRef>
          </c:tx>
          <c:spPr>
            <a:solidFill>
              <a:srgbClr val="D9D9D9"/>
            </a:solidFill>
            <a:ln>
              <a:noFill/>
            </a:ln>
            <a:effectLst/>
          </c:spPr>
          <c:invertIfNegative val="0"/>
          <c:cat>
            <c:strRef>
              <c:f>DASHBOARD_EJECUTIVO!$BE$5:$BE$9</c:f>
              <c:strCache>
                <c:ptCount val="5"/>
                <c:pt idx="0">
                  <c:v>Filtros</c:v>
                </c:pt>
                <c:pt idx="1">
                  <c:v>Lubricantes</c:v>
                </c:pt>
                <c:pt idx="2">
                  <c:v>Pastillas</c:v>
                </c:pt>
                <c:pt idx="3">
                  <c:v>Correas</c:v>
                </c:pt>
                <c:pt idx="4">
                  <c:v>Soportes</c:v>
                </c:pt>
              </c:strCache>
            </c:strRef>
          </c:cat>
          <c:val>
            <c:numRef>
              <c:f>DASHBOARD_EJECUTIVO!$BJ$5:$BJ$9</c:f>
              <c:numCache>
                <c:formatCode>General</c:formatCode>
                <c:ptCount val="5"/>
                <c:pt idx="0">
                  <c:v>12.494492246084491</c:v>
                </c:pt>
                <c:pt idx="1">
                  <c:v>7.5156334890054879</c:v>
                </c:pt>
                <c:pt idx="2">
                  <c:v>7.0933646040814722</c:v>
                </c:pt>
                <c:pt idx="3">
                  <c:v>12.863753144088626</c:v>
                </c:pt>
                <c:pt idx="4">
                  <c:v>12.103705656271359</c:v>
                </c:pt>
              </c:numCache>
            </c:numRef>
          </c:val>
          <c:extLst>
            <c:ext xmlns:c16="http://schemas.microsoft.com/office/drawing/2014/chart" uri="{C3380CC4-5D6E-409C-BE32-E72D297353CC}">
              <c16:uniqueId val="{00000004-4EE6-4B3F-AB91-945EE0CF2255}"/>
            </c:ext>
          </c:extLst>
        </c:ser>
        <c:dLbls>
          <c:showLegendKey val="0"/>
          <c:showVal val="0"/>
          <c:showCatName val="0"/>
          <c:showSerName val="0"/>
          <c:showPercent val="0"/>
          <c:showBubbleSize val="0"/>
        </c:dLbls>
        <c:gapWidth val="150"/>
        <c:overlap val="100"/>
        <c:axId val="249554160"/>
        <c:axId val="286033904"/>
      </c:barChart>
      <c:catAx>
        <c:axId val="24955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86033904"/>
        <c:crosses val="autoZero"/>
        <c:auto val="1"/>
        <c:lblAlgn val="ctr"/>
        <c:lblOffset val="100"/>
        <c:noMultiLvlLbl val="0"/>
      </c:catAx>
      <c:valAx>
        <c:axId val="286033904"/>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Peso (kg)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49554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r>
              <a:rPr lang="en-US"/>
              <a:t>Distribución de volumen por familia (m³) — mín · Q1 · mediana · Q3 · máx</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F3864"/>
              </a:solidFill>
              <a:latin typeface="+mn-lt"/>
              <a:ea typeface="+mn-ea"/>
              <a:cs typeface="+mn-cs"/>
            </a:defRPr>
          </a:pPr>
          <a:endParaRPr lang="es-PE"/>
        </a:p>
      </c:txPr>
    </c:title>
    <c:autoTitleDeleted val="0"/>
    <c:plotArea>
      <c:layout/>
      <c:barChart>
        <c:barDir val="col"/>
        <c:grouping val="stacked"/>
        <c:varyColors val="0"/>
        <c:ser>
          <c:idx val="0"/>
          <c:order val="0"/>
          <c:tx>
            <c:strRef>
              <c:f>DASHBOARD_EJECUTIVO!$BF$13</c:f>
              <c:strCache>
                <c:ptCount val="1"/>
                <c:pt idx="0">
                  <c:v>(base mín)</c:v>
                </c:pt>
              </c:strCache>
            </c:strRef>
          </c:tx>
          <c:spPr>
            <a:noFill/>
            <a:ln>
              <a:noFill/>
            </a:ln>
            <a:effectLst/>
          </c:spPr>
          <c:invertIfNegative val="0"/>
          <c:cat>
            <c:strRef>
              <c:f>DASHBOARD_EJECUTIVO!$BE$14:$BE$18</c:f>
              <c:strCache>
                <c:ptCount val="5"/>
                <c:pt idx="0">
                  <c:v>Filtros</c:v>
                </c:pt>
                <c:pt idx="1">
                  <c:v>Lubricantes</c:v>
                </c:pt>
                <c:pt idx="2">
                  <c:v>Pastillas</c:v>
                </c:pt>
                <c:pt idx="3">
                  <c:v>Correas</c:v>
                </c:pt>
                <c:pt idx="4">
                  <c:v>Soportes</c:v>
                </c:pt>
              </c:strCache>
            </c:strRef>
          </c:cat>
          <c:val>
            <c:numRef>
              <c:f>DASHBOARD_EJECUTIVO!$BF$14:$BF$18</c:f>
              <c:numCache>
                <c:formatCode>General</c:formatCode>
                <c:ptCount val="5"/>
                <c:pt idx="0">
                  <c:v>5.9263022433111101E-2</c:v>
                </c:pt>
                <c:pt idx="1">
                  <c:v>7.6137625475689766E-2</c:v>
                </c:pt>
                <c:pt idx="2">
                  <c:v>5.2484952705621077E-2</c:v>
                </c:pt>
                <c:pt idx="3">
                  <c:v>6.1438607034842843E-2</c:v>
                </c:pt>
                <c:pt idx="4">
                  <c:v>7.0902685723998979E-2</c:v>
                </c:pt>
              </c:numCache>
            </c:numRef>
          </c:val>
          <c:extLst>
            <c:ext xmlns:c16="http://schemas.microsoft.com/office/drawing/2014/chart" uri="{C3380CC4-5D6E-409C-BE32-E72D297353CC}">
              <c16:uniqueId val="{00000000-CF72-4FAF-842A-7724CB20AAF4}"/>
            </c:ext>
          </c:extLst>
        </c:ser>
        <c:ser>
          <c:idx val="1"/>
          <c:order val="1"/>
          <c:tx>
            <c:strRef>
              <c:f>DASHBOARD_EJECUTIVO!$BG$13</c:f>
              <c:strCache>
                <c:ptCount val="1"/>
                <c:pt idx="0">
                  <c:v>Bigote inf.</c:v>
                </c:pt>
              </c:strCache>
            </c:strRef>
          </c:tx>
          <c:spPr>
            <a:solidFill>
              <a:srgbClr val="D9D9D9"/>
            </a:solidFill>
            <a:ln>
              <a:noFill/>
            </a:ln>
            <a:effectLst/>
          </c:spPr>
          <c:invertIfNegative val="0"/>
          <c:cat>
            <c:strRef>
              <c:f>DASHBOARD_EJECUTIVO!$BE$14:$BE$18</c:f>
              <c:strCache>
                <c:ptCount val="5"/>
                <c:pt idx="0">
                  <c:v>Filtros</c:v>
                </c:pt>
                <c:pt idx="1">
                  <c:v>Lubricantes</c:v>
                </c:pt>
                <c:pt idx="2">
                  <c:v>Pastillas</c:v>
                </c:pt>
                <c:pt idx="3">
                  <c:v>Correas</c:v>
                </c:pt>
                <c:pt idx="4">
                  <c:v>Soportes</c:v>
                </c:pt>
              </c:strCache>
            </c:strRef>
          </c:cat>
          <c:val>
            <c:numRef>
              <c:f>DASHBOARD_EJECUTIVO!$BG$14:$BG$18</c:f>
              <c:numCache>
                <c:formatCode>General</c:formatCode>
                <c:ptCount val="5"/>
                <c:pt idx="0">
                  <c:v>0.12111935610942734</c:v>
                </c:pt>
                <c:pt idx="1">
                  <c:v>6.0112880956913736E-2</c:v>
                </c:pt>
                <c:pt idx="2">
                  <c:v>7.4647376186558603E-2</c:v>
                </c:pt>
                <c:pt idx="3">
                  <c:v>0.13285379067554964</c:v>
                </c:pt>
                <c:pt idx="4">
                  <c:v>6.1941001826665246E-2</c:v>
                </c:pt>
              </c:numCache>
            </c:numRef>
          </c:val>
          <c:extLst>
            <c:ext xmlns:c16="http://schemas.microsoft.com/office/drawing/2014/chart" uri="{C3380CC4-5D6E-409C-BE32-E72D297353CC}">
              <c16:uniqueId val="{00000001-CF72-4FAF-842A-7724CB20AAF4}"/>
            </c:ext>
          </c:extLst>
        </c:ser>
        <c:ser>
          <c:idx val="2"/>
          <c:order val="2"/>
          <c:tx>
            <c:strRef>
              <c:f>DASHBOARD_EJECUTIVO!$BH$13</c:f>
              <c:strCache>
                <c:ptCount val="1"/>
                <c:pt idx="0">
                  <c:v>Q1 → Mediana</c:v>
                </c:pt>
              </c:strCache>
            </c:strRef>
          </c:tx>
          <c:spPr>
            <a:solidFill>
              <a:srgbClr val="375623"/>
            </a:solidFill>
            <a:ln>
              <a:noFill/>
            </a:ln>
            <a:effectLst/>
          </c:spPr>
          <c:invertIfNegative val="0"/>
          <c:cat>
            <c:strRef>
              <c:f>DASHBOARD_EJECUTIVO!$BE$14:$BE$18</c:f>
              <c:strCache>
                <c:ptCount val="5"/>
                <c:pt idx="0">
                  <c:v>Filtros</c:v>
                </c:pt>
                <c:pt idx="1">
                  <c:v>Lubricantes</c:v>
                </c:pt>
                <c:pt idx="2">
                  <c:v>Pastillas</c:v>
                </c:pt>
                <c:pt idx="3">
                  <c:v>Correas</c:v>
                </c:pt>
                <c:pt idx="4">
                  <c:v>Soportes</c:v>
                </c:pt>
              </c:strCache>
            </c:strRef>
          </c:cat>
          <c:val>
            <c:numRef>
              <c:f>DASHBOARD_EJECUTIVO!$BH$14:$BH$18</c:f>
              <c:numCache>
                <c:formatCode>General</c:formatCode>
                <c:ptCount val="5"/>
                <c:pt idx="0">
                  <c:v>0.12842183184589109</c:v>
                </c:pt>
                <c:pt idx="1">
                  <c:v>5.2422583751522339E-2</c:v>
                </c:pt>
                <c:pt idx="2">
                  <c:v>0.15558572451589037</c:v>
                </c:pt>
                <c:pt idx="3">
                  <c:v>0.10500478459498214</c:v>
                </c:pt>
                <c:pt idx="4">
                  <c:v>6.0326659257094295E-2</c:v>
                </c:pt>
              </c:numCache>
            </c:numRef>
          </c:val>
          <c:extLst>
            <c:ext xmlns:c16="http://schemas.microsoft.com/office/drawing/2014/chart" uri="{C3380CC4-5D6E-409C-BE32-E72D297353CC}">
              <c16:uniqueId val="{00000002-CF72-4FAF-842A-7724CB20AAF4}"/>
            </c:ext>
          </c:extLst>
        </c:ser>
        <c:ser>
          <c:idx val="3"/>
          <c:order val="3"/>
          <c:tx>
            <c:strRef>
              <c:f>DASHBOARD_EJECUTIVO!$BI$13</c:f>
              <c:strCache>
                <c:ptCount val="1"/>
                <c:pt idx="0">
                  <c:v>Mediana → Q3</c:v>
                </c:pt>
              </c:strCache>
            </c:strRef>
          </c:tx>
          <c:spPr>
            <a:solidFill>
              <a:srgbClr val="A9D18E"/>
            </a:solidFill>
            <a:ln>
              <a:noFill/>
            </a:ln>
            <a:effectLst/>
          </c:spPr>
          <c:invertIfNegative val="0"/>
          <c:cat>
            <c:strRef>
              <c:f>DASHBOARD_EJECUTIVO!$BE$14:$BE$18</c:f>
              <c:strCache>
                <c:ptCount val="5"/>
                <c:pt idx="0">
                  <c:v>Filtros</c:v>
                </c:pt>
                <c:pt idx="1">
                  <c:v>Lubricantes</c:v>
                </c:pt>
                <c:pt idx="2">
                  <c:v>Pastillas</c:v>
                </c:pt>
                <c:pt idx="3">
                  <c:v>Correas</c:v>
                </c:pt>
                <c:pt idx="4">
                  <c:v>Soportes</c:v>
                </c:pt>
              </c:strCache>
            </c:strRef>
          </c:cat>
          <c:val>
            <c:numRef>
              <c:f>DASHBOARD_EJECUTIVO!$BI$14:$BI$18</c:f>
              <c:numCache>
                <c:formatCode>General</c:formatCode>
                <c:ptCount val="5"/>
                <c:pt idx="0">
                  <c:v>9.0160694905906336E-2</c:v>
                </c:pt>
                <c:pt idx="1">
                  <c:v>0.18412772056666712</c:v>
                </c:pt>
                <c:pt idx="2">
                  <c:v>0.11429406083496224</c:v>
                </c:pt>
                <c:pt idx="3">
                  <c:v>7.3370874843647182E-2</c:v>
                </c:pt>
                <c:pt idx="4">
                  <c:v>0.13814234722383961</c:v>
                </c:pt>
              </c:numCache>
            </c:numRef>
          </c:val>
          <c:extLst>
            <c:ext xmlns:c16="http://schemas.microsoft.com/office/drawing/2014/chart" uri="{C3380CC4-5D6E-409C-BE32-E72D297353CC}">
              <c16:uniqueId val="{00000003-CF72-4FAF-842A-7724CB20AAF4}"/>
            </c:ext>
          </c:extLst>
        </c:ser>
        <c:ser>
          <c:idx val="4"/>
          <c:order val="4"/>
          <c:tx>
            <c:strRef>
              <c:f>DASHBOARD_EJECUTIVO!$BJ$13</c:f>
              <c:strCache>
                <c:ptCount val="1"/>
                <c:pt idx="0">
                  <c:v>Bigote sup.</c:v>
                </c:pt>
              </c:strCache>
            </c:strRef>
          </c:tx>
          <c:spPr>
            <a:solidFill>
              <a:srgbClr val="D9D9D9"/>
            </a:solidFill>
            <a:ln>
              <a:noFill/>
            </a:ln>
            <a:effectLst/>
          </c:spPr>
          <c:invertIfNegative val="0"/>
          <c:cat>
            <c:strRef>
              <c:f>DASHBOARD_EJECUTIVO!$BE$14:$BE$18</c:f>
              <c:strCache>
                <c:ptCount val="5"/>
                <c:pt idx="0">
                  <c:v>Filtros</c:v>
                </c:pt>
                <c:pt idx="1">
                  <c:v>Lubricantes</c:v>
                </c:pt>
                <c:pt idx="2">
                  <c:v>Pastillas</c:v>
                </c:pt>
                <c:pt idx="3">
                  <c:v>Correas</c:v>
                </c:pt>
                <c:pt idx="4">
                  <c:v>Soportes</c:v>
                </c:pt>
              </c:strCache>
            </c:strRef>
          </c:cat>
          <c:val>
            <c:numRef>
              <c:f>DASHBOARD_EJECUTIVO!$BJ$14:$BJ$18</c:f>
              <c:numCache>
                <c:formatCode>General</c:formatCode>
                <c:ptCount val="5"/>
                <c:pt idx="0">
                  <c:v>8.7348177199715549E-2</c:v>
                </c:pt>
                <c:pt idx="1">
                  <c:v>0.11365862272210442</c:v>
                </c:pt>
                <c:pt idx="2">
                  <c:v>7.5762409460852831E-2</c:v>
                </c:pt>
                <c:pt idx="3">
                  <c:v>0.1043304346149781</c:v>
                </c:pt>
                <c:pt idx="4">
                  <c:v>0.1627864274386347</c:v>
                </c:pt>
              </c:numCache>
            </c:numRef>
          </c:val>
          <c:extLst>
            <c:ext xmlns:c16="http://schemas.microsoft.com/office/drawing/2014/chart" uri="{C3380CC4-5D6E-409C-BE32-E72D297353CC}">
              <c16:uniqueId val="{00000004-CF72-4FAF-842A-7724CB20AAF4}"/>
            </c:ext>
          </c:extLst>
        </c:ser>
        <c:dLbls>
          <c:showLegendKey val="0"/>
          <c:showVal val="0"/>
          <c:showCatName val="0"/>
          <c:showSerName val="0"/>
          <c:showPercent val="0"/>
          <c:showBubbleSize val="0"/>
        </c:dLbls>
        <c:gapWidth val="150"/>
        <c:overlap val="100"/>
        <c:axId val="248903200"/>
        <c:axId val="286072304"/>
      </c:barChart>
      <c:catAx>
        <c:axId val="24890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86072304"/>
        <c:crosses val="autoZero"/>
        <c:auto val="1"/>
        <c:lblAlgn val="ctr"/>
        <c:lblOffset val="100"/>
        <c:noMultiLvlLbl val="0"/>
      </c:catAx>
      <c:valAx>
        <c:axId val="286072304"/>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PE"/>
                  <a:t>Volumen (m³)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P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48903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10</xdr:col>
      <xdr:colOff>0</xdr:colOff>
      <xdr:row>17</xdr:row>
      <xdr:rowOff>0</xdr:rowOff>
    </xdr:to>
    <xdr:graphicFrame macro="">
      <xdr:nvGraphicFramePr>
        <xdr:cNvPr id="2" name="G1_ABC">
          <a:extLst>
            <a:ext uri="{FF2B5EF4-FFF2-40B4-BE49-F238E27FC236}">
              <a16:creationId xmlns:a16="http://schemas.microsoft.com/office/drawing/2014/main" id="{CD94A497-1B16-EFDE-061B-3406D5C480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0</xdr:rowOff>
    </xdr:from>
    <xdr:to>
      <xdr:col>10</xdr:col>
      <xdr:colOff>0</xdr:colOff>
      <xdr:row>31</xdr:row>
      <xdr:rowOff>0</xdr:rowOff>
    </xdr:to>
    <xdr:graphicFrame macro="">
      <xdr:nvGraphicFramePr>
        <xdr:cNvPr id="3" name="G2_FAMILIA">
          <a:extLst>
            <a:ext uri="{FF2B5EF4-FFF2-40B4-BE49-F238E27FC236}">
              <a16:creationId xmlns:a16="http://schemas.microsoft.com/office/drawing/2014/main" id="{916CEA13-348A-319B-5EA6-F53664CB91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47</xdr:row>
      <xdr:rowOff>0</xdr:rowOff>
    </xdr:from>
    <xdr:to>
      <xdr:col>10</xdr:col>
      <xdr:colOff>0</xdr:colOff>
      <xdr:row>59</xdr:row>
      <xdr:rowOff>0</xdr:rowOff>
    </xdr:to>
    <xdr:graphicFrame macro="">
      <xdr:nvGraphicFramePr>
        <xdr:cNvPr id="6" name="G4_ROT_ZONA">
          <a:extLst>
            <a:ext uri="{FF2B5EF4-FFF2-40B4-BE49-F238E27FC236}">
              <a16:creationId xmlns:a16="http://schemas.microsoft.com/office/drawing/2014/main" id="{852DB56B-E174-B660-50A9-965D0AEC1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75</xdr:row>
      <xdr:rowOff>0</xdr:rowOff>
    </xdr:from>
    <xdr:to>
      <xdr:col>10</xdr:col>
      <xdr:colOff>0</xdr:colOff>
      <xdr:row>87</xdr:row>
      <xdr:rowOff>0</xdr:rowOff>
    </xdr:to>
    <xdr:graphicFrame macro="">
      <xdr:nvGraphicFramePr>
        <xdr:cNvPr id="7" name="G6_VOLUMEN">
          <a:extLst>
            <a:ext uri="{FF2B5EF4-FFF2-40B4-BE49-F238E27FC236}">
              <a16:creationId xmlns:a16="http://schemas.microsoft.com/office/drawing/2014/main" id="{393CE4D5-CB89-1890-4126-5E292E3613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89</xdr:row>
      <xdr:rowOff>0</xdr:rowOff>
    </xdr:from>
    <xdr:to>
      <xdr:col>10</xdr:col>
      <xdr:colOff>0</xdr:colOff>
      <xdr:row>101</xdr:row>
      <xdr:rowOff>0</xdr:rowOff>
    </xdr:to>
    <xdr:graphicFrame macro="">
      <xdr:nvGraphicFramePr>
        <xdr:cNvPr id="9" name="G7_TIEMPO_ZONA">
          <a:extLst>
            <a:ext uri="{FF2B5EF4-FFF2-40B4-BE49-F238E27FC236}">
              <a16:creationId xmlns:a16="http://schemas.microsoft.com/office/drawing/2014/main" id="{29C9ECD3-51ED-2D91-2BFA-959935B057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103</xdr:row>
      <xdr:rowOff>0</xdr:rowOff>
    </xdr:from>
    <xdr:to>
      <xdr:col>10</xdr:col>
      <xdr:colOff>0</xdr:colOff>
      <xdr:row>115</xdr:row>
      <xdr:rowOff>0</xdr:rowOff>
    </xdr:to>
    <xdr:graphicFrame macro="">
      <xdr:nvGraphicFramePr>
        <xdr:cNvPr id="10" name="G8_PARETO">
          <a:extLst>
            <a:ext uri="{FF2B5EF4-FFF2-40B4-BE49-F238E27FC236}">
              <a16:creationId xmlns:a16="http://schemas.microsoft.com/office/drawing/2014/main" id="{4C574D9A-5C83-7E7D-3BB3-605792984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142</xdr:row>
      <xdr:rowOff>0</xdr:rowOff>
    </xdr:from>
    <xdr:to>
      <xdr:col>10</xdr:col>
      <xdr:colOff>0</xdr:colOff>
      <xdr:row>157</xdr:row>
      <xdr:rowOff>0</xdr:rowOff>
    </xdr:to>
    <xdr:graphicFrame macro="">
      <xdr:nvGraphicFramePr>
        <xdr:cNvPr id="11" name="G10_SCATTER">
          <a:extLst>
            <a:ext uri="{FF2B5EF4-FFF2-40B4-BE49-F238E27FC236}">
              <a16:creationId xmlns:a16="http://schemas.microsoft.com/office/drawing/2014/main" id="{03DB5726-2456-54A5-D1E6-54BE8DC74F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159</xdr:row>
      <xdr:rowOff>0</xdr:rowOff>
    </xdr:from>
    <xdr:to>
      <xdr:col>10</xdr:col>
      <xdr:colOff>0</xdr:colOff>
      <xdr:row>174</xdr:row>
      <xdr:rowOff>0</xdr:rowOff>
    </xdr:to>
    <xdr:graphicFrame macro="">
      <xdr:nvGraphicFramePr>
        <xdr:cNvPr id="12" name="G11_BOX_PESO">
          <a:extLst>
            <a:ext uri="{FF2B5EF4-FFF2-40B4-BE49-F238E27FC236}">
              <a16:creationId xmlns:a16="http://schemas.microsoft.com/office/drawing/2014/main" id="{97D851D2-572F-7A9D-7689-6B9E04882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176</xdr:row>
      <xdr:rowOff>0</xdr:rowOff>
    </xdr:from>
    <xdr:to>
      <xdr:col>10</xdr:col>
      <xdr:colOff>0</xdr:colOff>
      <xdr:row>191</xdr:row>
      <xdr:rowOff>0</xdr:rowOff>
    </xdr:to>
    <xdr:graphicFrame macro="">
      <xdr:nvGraphicFramePr>
        <xdr:cNvPr id="13" name="G12_BOX_VOL">
          <a:extLst>
            <a:ext uri="{FF2B5EF4-FFF2-40B4-BE49-F238E27FC236}">
              <a16:creationId xmlns:a16="http://schemas.microsoft.com/office/drawing/2014/main" id="{EBA92887-4D63-31D8-3DED-5CFBD667DC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 dockstate="right" visibility="0" width="350" row="6">
    <wetp:webextensionref xmlns:r="http://schemas.openxmlformats.org/officeDocument/2006/relationships" r:id="rId2"/>
  </wetp:taskpane>
  <wetp:taskpane dockstate="right" visibility="0" width="525" row="1">
    <wetp:webextensionref xmlns:r="http://schemas.openxmlformats.org/officeDocument/2006/relationships" r:id="rId3"/>
  </wetp:taskpane>
</wetp:taskpanes>
</file>

<file path=xl/webextensions/webextension1.xml><?xml version="1.0" encoding="utf-8"?>
<we:webextension xmlns:we="http://schemas.microsoft.com/office/webextensions/webextension/2010/11" id="{945B8B24-3FE3-4AF1-AA99-D98C7E135E93}">
  <we:reference id="wa200009404" version="1.0.0.8" store="en-US" storeType="OMEX"/>
  <we:alternateReferences>
    <we:reference id="WA200009404" version="1.0.0.8" store="" storeType="OMEX"/>
  </we:alternateReferences>
  <we:properties>
    <we:property name="claude.fileId" value="&quot;126ca755-9f08-4466-aed9-8081a9665314&quot;"/>
  </we:properties>
  <we:bindings/>
  <we:snapshot xmlns:r="http://schemas.openxmlformats.org/officeDocument/2006/relationships"/>
</we:webextension>
</file>

<file path=xl/webextensions/webextension2.xml><?xml version="1.0" encoding="utf-8"?>
<we:webextension xmlns:we="http://schemas.microsoft.com/office/webextensions/webextension/2010/11" id="{03A10521-3868-4908-8734-76748B154E11}">
  <we:reference id="wa200008745" version="1.0.0.0" store="en-US" storeType="OMEX"/>
  <we:alternateReferences>
    <we:reference id="WA200008745" version="1.0.0.0" store=""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BE12E77B-26A5-478F-82E7-37A2CD07F193}">
  <we:reference id="wa200010725" version="1.0.0.1" store="en-US" storeType="OMEX"/>
  <we:alternateReferences>
    <we:reference id="WA200010725" version="1.0.0.1" store="" storeType="OMEX"/>
  </we:alternateReferences>
  <we:properties>
    <we:property name="claude.fileId" value="&quot;43fbb35c-5a49-46dc-9a7d-638ec2970104&quot;"/>
  </we:properties>
  <we:bindings/>
  <we:snapshot xmlns:r="http://schemas.openxmlformats.org/officeDocument/2006/relationships"/>
</we:webextension>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8D4"/>
  </sheetPr>
  <dimension ref="A1:L50"/>
  <sheetViews>
    <sheetView showGridLines="0" showRowColHeaders="0" zoomScale="124" zoomScaleNormal="124" workbookViewId="0">
      <selection activeCell="A2" sqref="A2:L2"/>
      <extLst>
        <ext xmlns:xlsdti="http://schemas.microsoft.com/office/spreadsheetml/2023/showDataTypeIcons" uri="{77bfe23e-c014-4d31-8a63-9c772dbf06b6}">
          <xlsdti:showDataTypeIcons visible="0"/>
        </ext>
      </extLst>
    </sheetView>
  </sheetViews>
  <sheetFormatPr baseColWidth="10" defaultColWidth="8.81640625" defaultRowHeight="14.5" x14ac:dyDescent="0.35"/>
  <sheetData>
    <row r="1" spans="1:12" x14ac:dyDescent="0.35">
      <c r="A1" s="1"/>
      <c r="B1" s="1"/>
      <c r="C1" s="1"/>
      <c r="D1" s="1"/>
      <c r="E1" s="1"/>
      <c r="F1" s="1"/>
      <c r="G1" s="1"/>
      <c r="H1" s="1"/>
      <c r="I1" s="1"/>
      <c r="J1" s="1"/>
      <c r="K1" s="1"/>
      <c r="L1" s="1"/>
    </row>
    <row r="2" spans="1:12" ht="45" customHeight="1" x14ac:dyDescent="0.35">
      <c r="A2" s="18" t="s">
        <v>0</v>
      </c>
      <c r="B2" s="19"/>
      <c r="C2" s="19"/>
      <c r="D2" s="19"/>
      <c r="E2" s="19"/>
      <c r="F2" s="19"/>
      <c r="G2" s="19"/>
      <c r="H2" s="19"/>
      <c r="I2" s="19"/>
      <c r="J2" s="19"/>
      <c r="K2" s="19"/>
      <c r="L2" s="19"/>
    </row>
    <row r="3" spans="1:12" x14ac:dyDescent="0.35">
      <c r="A3" s="1"/>
      <c r="B3" s="1"/>
      <c r="C3" s="1"/>
      <c r="D3" s="1"/>
      <c r="E3" s="1"/>
      <c r="F3" s="1"/>
      <c r="G3" s="1"/>
      <c r="H3" s="1"/>
      <c r="I3" s="1"/>
      <c r="J3" s="1"/>
      <c r="K3" s="1"/>
      <c r="L3" s="1"/>
    </row>
    <row r="4" spans="1:12" x14ac:dyDescent="0.35">
      <c r="A4" s="20" t="s">
        <v>1</v>
      </c>
      <c r="B4" s="19"/>
      <c r="C4" s="19"/>
      <c r="D4" s="19"/>
      <c r="E4" s="19"/>
      <c r="F4" s="19"/>
      <c r="G4" s="19"/>
      <c r="H4" s="19"/>
      <c r="I4" s="19"/>
      <c r="J4" s="19"/>
      <c r="K4" s="19"/>
      <c r="L4" s="19"/>
    </row>
    <row r="5" spans="1:12" x14ac:dyDescent="0.35">
      <c r="A5" s="1"/>
      <c r="B5" s="1"/>
      <c r="C5" s="1"/>
      <c r="D5" s="1"/>
      <c r="E5" s="1"/>
      <c r="F5" s="1"/>
      <c r="G5" s="1"/>
      <c r="H5" s="1"/>
      <c r="I5" s="1"/>
      <c r="J5" s="1"/>
      <c r="K5" s="1"/>
      <c r="L5" s="1"/>
    </row>
    <row r="6" spans="1:12" x14ac:dyDescent="0.35">
      <c r="A6" s="1"/>
      <c r="B6" s="1"/>
      <c r="C6" s="1"/>
      <c r="D6" s="1"/>
      <c r="E6" s="1"/>
      <c r="F6" s="1"/>
      <c r="G6" s="1"/>
      <c r="H6" s="1"/>
      <c r="I6" s="1"/>
      <c r="J6" s="1"/>
      <c r="K6" s="1"/>
      <c r="L6" s="1"/>
    </row>
    <row r="7" spans="1:12" x14ac:dyDescent="0.35">
      <c r="A7" s="1"/>
      <c r="B7" s="1"/>
      <c r="C7" s="1"/>
      <c r="D7" s="1"/>
      <c r="E7" s="1"/>
      <c r="F7" s="1"/>
      <c r="G7" s="1"/>
      <c r="H7" s="1"/>
      <c r="I7" s="1"/>
      <c r="J7" s="1"/>
      <c r="K7" s="1"/>
      <c r="L7" s="1"/>
    </row>
    <row r="8" spans="1:12" x14ac:dyDescent="0.35">
      <c r="A8" s="1"/>
      <c r="B8" s="1"/>
      <c r="C8" s="1"/>
      <c r="D8" s="1"/>
      <c r="E8" s="1"/>
      <c r="F8" s="1"/>
      <c r="G8" s="1"/>
      <c r="H8" s="1"/>
      <c r="I8" s="1"/>
      <c r="J8" s="1"/>
      <c r="K8" s="1"/>
      <c r="L8" s="1"/>
    </row>
    <row r="9" spans="1:12" x14ac:dyDescent="0.35">
      <c r="A9" s="1"/>
      <c r="B9" s="1"/>
      <c r="C9" s="1"/>
      <c r="D9" s="1"/>
      <c r="E9" s="1"/>
      <c r="F9" s="1"/>
      <c r="G9" s="1"/>
      <c r="H9" s="1"/>
      <c r="I9" s="1"/>
      <c r="J9" s="1"/>
      <c r="K9" s="1"/>
      <c r="L9" s="1"/>
    </row>
    <row r="10" spans="1:12" x14ac:dyDescent="0.35">
      <c r="A10" s="1"/>
      <c r="B10" s="1"/>
      <c r="C10" s="1"/>
      <c r="D10" s="1"/>
      <c r="E10" s="1"/>
      <c r="F10" s="1"/>
      <c r="G10" s="1"/>
      <c r="H10" s="1"/>
      <c r="I10" s="1"/>
      <c r="J10" s="1"/>
      <c r="K10" s="1"/>
      <c r="L10" s="1"/>
    </row>
    <row r="11" spans="1:12" x14ac:dyDescent="0.35">
      <c r="A11" s="1"/>
      <c r="B11" s="1"/>
      <c r="C11" s="1"/>
      <c r="D11" s="1"/>
      <c r="E11" s="1"/>
      <c r="F11" s="1"/>
      <c r="G11" s="1"/>
      <c r="H11" s="1"/>
      <c r="I11" s="1"/>
      <c r="J11" s="1"/>
      <c r="K11" s="1"/>
      <c r="L11" s="1"/>
    </row>
    <row r="12" spans="1:12" x14ac:dyDescent="0.35">
      <c r="A12" s="1"/>
      <c r="B12" s="1"/>
      <c r="C12" s="1"/>
      <c r="D12" s="1"/>
      <c r="E12" s="1"/>
      <c r="F12" s="1"/>
      <c r="G12" s="1"/>
      <c r="H12" s="1"/>
      <c r="I12" s="1"/>
      <c r="J12" s="1"/>
      <c r="K12" s="1"/>
      <c r="L12" s="1"/>
    </row>
    <row r="13" spans="1:12" x14ac:dyDescent="0.35">
      <c r="A13" s="1"/>
      <c r="B13" s="1"/>
      <c r="C13" s="1"/>
      <c r="D13" s="1"/>
      <c r="E13" s="1"/>
      <c r="F13" s="1"/>
      <c r="G13" s="1"/>
      <c r="H13" s="1"/>
      <c r="I13" s="1"/>
      <c r="J13" s="1"/>
      <c r="K13" s="1"/>
      <c r="L13" s="1"/>
    </row>
    <row r="14" spans="1:12" x14ac:dyDescent="0.35">
      <c r="A14" s="1"/>
      <c r="B14" s="1"/>
      <c r="C14" s="1"/>
      <c r="D14" s="1"/>
      <c r="E14" s="1"/>
      <c r="F14" s="1"/>
      <c r="G14" s="1"/>
      <c r="H14" s="1"/>
      <c r="I14" s="1"/>
      <c r="J14" s="1"/>
      <c r="K14" s="1"/>
      <c r="L14" s="1"/>
    </row>
    <row r="15" spans="1:12" x14ac:dyDescent="0.35">
      <c r="A15" s="1"/>
      <c r="B15" s="1"/>
      <c r="C15" s="1"/>
      <c r="D15" s="1"/>
      <c r="E15" s="1"/>
      <c r="F15" s="1"/>
      <c r="G15" s="1"/>
      <c r="H15" s="1"/>
      <c r="I15" s="1"/>
      <c r="J15" s="1"/>
      <c r="K15" s="1"/>
      <c r="L15" s="1"/>
    </row>
    <row r="16" spans="1:12" x14ac:dyDescent="0.35">
      <c r="A16" s="1"/>
      <c r="B16" s="1"/>
      <c r="C16" s="1"/>
      <c r="D16" s="1"/>
      <c r="E16" s="1"/>
      <c r="F16" s="1"/>
      <c r="G16" s="1"/>
      <c r="H16" s="1"/>
      <c r="I16" s="1"/>
      <c r="J16" s="1"/>
      <c r="K16" s="1"/>
      <c r="L16" s="1"/>
    </row>
    <row r="17" spans="1:12" x14ac:dyDescent="0.35">
      <c r="A17" s="1"/>
      <c r="B17" s="1"/>
      <c r="C17" s="1"/>
      <c r="D17" s="1"/>
      <c r="E17" s="1"/>
      <c r="F17" s="1"/>
      <c r="G17" s="1"/>
      <c r="H17" s="1"/>
      <c r="I17" s="1"/>
      <c r="J17" s="1"/>
      <c r="K17" s="1"/>
      <c r="L17" s="1"/>
    </row>
    <row r="18" spans="1:12" x14ac:dyDescent="0.35">
      <c r="A18" s="1"/>
      <c r="B18" s="1"/>
      <c r="C18" s="1"/>
      <c r="D18" s="1"/>
      <c r="E18" s="1"/>
      <c r="F18" s="1"/>
      <c r="G18" s="1"/>
      <c r="H18" s="1"/>
      <c r="I18" s="1"/>
      <c r="J18" s="1"/>
      <c r="K18" s="1"/>
      <c r="L18" s="1"/>
    </row>
    <row r="19" spans="1:12" x14ac:dyDescent="0.35">
      <c r="A19" s="1"/>
      <c r="B19" s="1"/>
      <c r="C19" s="1"/>
      <c r="D19" s="1"/>
      <c r="E19" s="1"/>
      <c r="F19" s="1"/>
      <c r="G19" s="1"/>
      <c r="H19" s="1"/>
      <c r="I19" s="1"/>
      <c r="J19" s="1"/>
      <c r="K19" s="1"/>
      <c r="L19" s="1"/>
    </row>
    <row r="20" spans="1:12" x14ac:dyDescent="0.35">
      <c r="A20" s="1"/>
      <c r="B20" s="1"/>
      <c r="C20" s="1"/>
      <c r="D20" s="1"/>
      <c r="E20" s="1"/>
      <c r="F20" s="1"/>
      <c r="G20" s="1"/>
      <c r="H20" s="1"/>
      <c r="I20" s="1"/>
      <c r="J20" s="1"/>
      <c r="K20" s="1"/>
      <c r="L20" s="1"/>
    </row>
    <row r="21" spans="1:12" x14ac:dyDescent="0.35">
      <c r="A21" s="1"/>
      <c r="B21" s="1"/>
      <c r="C21" s="1"/>
      <c r="D21" s="1"/>
      <c r="E21" s="1"/>
      <c r="F21" s="1"/>
      <c r="G21" s="1"/>
      <c r="H21" s="1"/>
      <c r="I21" s="1"/>
      <c r="J21" s="1"/>
      <c r="K21" s="1"/>
      <c r="L21" s="1"/>
    </row>
    <row r="22" spans="1:12" x14ac:dyDescent="0.35">
      <c r="A22" s="1"/>
      <c r="B22" s="1"/>
      <c r="C22" s="1"/>
      <c r="D22" s="1"/>
      <c r="E22" s="1"/>
      <c r="F22" s="1"/>
      <c r="G22" s="1"/>
      <c r="H22" s="1"/>
      <c r="I22" s="1"/>
      <c r="J22" s="1"/>
      <c r="K22" s="1"/>
      <c r="L22" s="1"/>
    </row>
    <row r="23" spans="1:12" x14ac:dyDescent="0.35">
      <c r="A23" s="1"/>
      <c r="B23" s="1"/>
      <c r="C23" s="1"/>
      <c r="D23" s="1"/>
      <c r="E23" s="1"/>
      <c r="F23" s="1"/>
      <c r="G23" s="1"/>
      <c r="H23" s="1"/>
      <c r="I23" s="1"/>
      <c r="J23" s="1"/>
      <c r="K23" s="1"/>
      <c r="L23" s="1"/>
    </row>
    <row r="24" spans="1:12" x14ac:dyDescent="0.35">
      <c r="A24" s="1"/>
      <c r="B24" s="1"/>
      <c r="C24" s="1"/>
      <c r="D24" s="1"/>
      <c r="E24" s="1"/>
      <c r="F24" s="1"/>
      <c r="G24" s="1"/>
      <c r="H24" s="1"/>
      <c r="I24" s="1"/>
      <c r="J24" s="1"/>
      <c r="K24" s="1"/>
      <c r="L24" s="1"/>
    </row>
    <row r="25" spans="1:12" x14ac:dyDescent="0.35">
      <c r="A25" s="1"/>
      <c r="B25" s="1"/>
      <c r="C25" s="1"/>
      <c r="D25" s="1"/>
      <c r="E25" s="1"/>
      <c r="F25" s="1"/>
      <c r="G25" s="1"/>
      <c r="H25" s="1"/>
      <c r="I25" s="1"/>
      <c r="J25" s="1"/>
      <c r="K25" s="1"/>
      <c r="L25" s="1"/>
    </row>
    <row r="26" spans="1:12" x14ac:dyDescent="0.35">
      <c r="A26" s="1"/>
      <c r="B26" s="1"/>
      <c r="C26" s="1"/>
      <c r="D26" s="1"/>
      <c r="E26" s="1"/>
      <c r="F26" s="1"/>
      <c r="G26" s="1"/>
      <c r="H26" s="1"/>
      <c r="I26" s="1"/>
      <c r="J26" s="1"/>
      <c r="K26" s="1"/>
      <c r="L26" s="1"/>
    </row>
    <row r="27" spans="1:12" x14ac:dyDescent="0.35">
      <c r="A27" s="1"/>
      <c r="B27" s="1"/>
      <c r="C27" s="1"/>
      <c r="D27" s="1"/>
      <c r="E27" s="1"/>
      <c r="F27" s="1"/>
      <c r="G27" s="1"/>
      <c r="H27" s="1"/>
      <c r="I27" s="1"/>
      <c r="J27" s="1"/>
      <c r="K27" s="1"/>
      <c r="L27" s="1"/>
    </row>
    <row r="28" spans="1:12" x14ac:dyDescent="0.35">
      <c r="A28" s="1"/>
      <c r="B28" s="1"/>
      <c r="C28" s="1"/>
      <c r="D28" s="1"/>
      <c r="E28" s="1"/>
      <c r="F28" s="1"/>
      <c r="G28" s="1"/>
      <c r="H28" s="1"/>
      <c r="I28" s="1"/>
      <c r="J28" s="1"/>
      <c r="K28" s="1"/>
      <c r="L28" s="1"/>
    </row>
    <row r="29" spans="1:12" x14ac:dyDescent="0.35">
      <c r="A29" s="1"/>
      <c r="B29" s="1"/>
      <c r="C29" s="1"/>
      <c r="D29" s="1"/>
      <c r="E29" s="1"/>
      <c r="F29" s="1"/>
      <c r="G29" s="1"/>
      <c r="H29" s="1"/>
      <c r="I29" s="1"/>
      <c r="J29" s="1"/>
      <c r="K29" s="1"/>
      <c r="L29" s="1"/>
    </row>
    <row r="30" spans="1:12" x14ac:dyDescent="0.35">
      <c r="A30" s="1"/>
      <c r="B30" s="1"/>
      <c r="C30" s="1"/>
      <c r="D30" s="1"/>
      <c r="E30" s="1"/>
      <c r="F30" s="1"/>
      <c r="G30" s="1"/>
      <c r="H30" s="1"/>
      <c r="I30" s="1"/>
      <c r="J30" s="1"/>
      <c r="K30" s="1"/>
      <c r="L30" s="1"/>
    </row>
    <row r="31" spans="1:12" x14ac:dyDescent="0.35">
      <c r="A31" s="1"/>
      <c r="B31" s="1"/>
      <c r="C31" s="1"/>
      <c r="D31" s="1"/>
      <c r="E31" s="1"/>
      <c r="F31" s="1"/>
      <c r="G31" s="1"/>
      <c r="H31" s="1"/>
      <c r="I31" s="1"/>
      <c r="J31" s="1"/>
      <c r="K31" s="1"/>
      <c r="L31" s="1"/>
    </row>
    <row r="32" spans="1:12" x14ac:dyDescent="0.35">
      <c r="A32" s="1"/>
      <c r="B32" s="1"/>
      <c r="C32" s="1"/>
      <c r="D32" s="1"/>
      <c r="E32" s="1"/>
      <c r="F32" s="1"/>
      <c r="G32" s="1"/>
      <c r="H32" s="1"/>
      <c r="I32" s="1"/>
      <c r="J32" s="1"/>
      <c r="K32" s="1"/>
      <c r="L32" s="1"/>
    </row>
    <row r="33" spans="1:12" x14ac:dyDescent="0.35">
      <c r="A33" s="1"/>
      <c r="B33" s="1"/>
      <c r="C33" s="1"/>
      <c r="D33" s="1"/>
      <c r="E33" s="1"/>
      <c r="F33" s="1"/>
      <c r="G33" s="1"/>
      <c r="H33" s="1"/>
      <c r="I33" s="1"/>
      <c r="J33" s="1"/>
      <c r="K33" s="1"/>
      <c r="L33" s="1"/>
    </row>
    <row r="34" spans="1:12" x14ac:dyDescent="0.35">
      <c r="A34" s="1"/>
      <c r="B34" s="1"/>
      <c r="C34" s="1"/>
      <c r="D34" s="1"/>
      <c r="E34" s="1"/>
      <c r="F34" s="1"/>
      <c r="G34" s="1"/>
      <c r="H34" s="1"/>
      <c r="I34" s="1"/>
      <c r="J34" s="1"/>
      <c r="K34" s="1"/>
      <c r="L34" s="1"/>
    </row>
    <row r="35" spans="1:12" x14ac:dyDescent="0.35">
      <c r="A35" s="1"/>
      <c r="B35" s="1"/>
      <c r="C35" s="1"/>
      <c r="D35" s="1"/>
      <c r="E35" s="1"/>
      <c r="F35" s="1"/>
      <c r="G35" s="1"/>
      <c r="H35" s="1"/>
      <c r="I35" s="1"/>
      <c r="J35" s="1"/>
      <c r="K35" s="1"/>
      <c r="L35" s="1"/>
    </row>
    <row r="36" spans="1:12" x14ac:dyDescent="0.35">
      <c r="A36" s="1"/>
      <c r="B36" s="1"/>
      <c r="C36" s="1"/>
      <c r="D36" s="1"/>
      <c r="E36" s="1"/>
      <c r="F36" s="1"/>
      <c r="G36" s="1"/>
      <c r="H36" s="1"/>
      <c r="I36" s="1"/>
      <c r="J36" s="1"/>
      <c r="K36" s="1"/>
      <c r="L36" s="1"/>
    </row>
    <row r="37" spans="1:12" x14ac:dyDescent="0.35">
      <c r="A37" s="1"/>
      <c r="B37" s="1"/>
      <c r="C37" s="1"/>
      <c r="D37" s="1"/>
      <c r="E37" s="1"/>
      <c r="F37" s="1"/>
      <c r="G37" s="1"/>
      <c r="H37" s="1"/>
      <c r="I37" s="1"/>
      <c r="J37" s="1"/>
      <c r="K37" s="1"/>
      <c r="L37" s="1"/>
    </row>
    <row r="38" spans="1:12" x14ac:dyDescent="0.35">
      <c r="A38" s="1"/>
      <c r="B38" s="1"/>
      <c r="C38" s="1"/>
      <c r="D38" s="1"/>
      <c r="E38" s="1"/>
      <c r="F38" s="1"/>
      <c r="G38" s="1"/>
      <c r="H38" s="1"/>
      <c r="I38" s="1"/>
      <c r="J38" s="1"/>
      <c r="K38" s="1"/>
      <c r="L38" s="1"/>
    </row>
    <row r="39" spans="1:12" x14ac:dyDescent="0.35">
      <c r="A39" s="1"/>
      <c r="B39" s="1"/>
      <c r="C39" s="1"/>
      <c r="D39" s="1"/>
      <c r="E39" s="1"/>
      <c r="F39" s="1"/>
      <c r="G39" s="1"/>
      <c r="H39" s="1"/>
      <c r="I39" s="1"/>
      <c r="J39" s="1"/>
      <c r="K39" s="1"/>
      <c r="L39" s="1"/>
    </row>
    <row r="40" spans="1:12" x14ac:dyDescent="0.35">
      <c r="A40" s="1"/>
      <c r="B40" s="1"/>
      <c r="C40" s="1"/>
      <c r="D40" s="1"/>
      <c r="E40" s="1"/>
      <c r="F40" s="1"/>
      <c r="G40" s="1"/>
      <c r="H40" s="1"/>
      <c r="I40" s="1"/>
      <c r="J40" s="1"/>
      <c r="K40" s="1"/>
      <c r="L40" s="1"/>
    </row>
    <row r="41" spans="1:12" x14ac:dyDescent="0.35">
      <c r="A41" s="1"/>
      <c r="B41" s="1"/>
      <c r="C41" s="1"/>
      <c r="D41" s="1"/>
      <c r="E41" s="1"/>
      <c r="F41" s="1"/>
      <c r="G41" s="1"/>
      <c r="H41" s="1"/>
      <c r="I41" s="1"/>
      <c r="J41" s="1"/>
      <c r="K41" s="1"/>
      <c r="L41" s="1"/>
    </row>
    <row r="42" spans="1:12" x14ac:dyDescent="0.35">
      <c r="A42" s="1"/>
      <c r="B42" s="1"/>
      <c r="C42" s="1"/>
      <c r="D42" s="1"/>
      <c r="E42" s="1"/>
      <c r="F42" s="1"/>
      <c r="G42" s="1"/>
      <c r="H42" s="1"/>
      <c r="I42" s="1"/>
      <c r="J42" s="1"/>
      <c r="K42" s="1"/>
      <c r="L42" s="1"/>
    </row>
    <row r="43" spans="1:12" x14ac:dyDescent="0.35">
      <c r="A43" s="1"/>
      <c r="B43" s="1"/>
      <c r="C43" s="1"/>
      <c r="D43" s="1"/>
      <c r="E43" s="1"/>
      <c r="F43" s="1"/>
      <c r="G43" s="1"/>
      <c r="H43" s="1"/>
      <c r="I43" s="1"/>
      <c r="J43" s="1"/>
      <c r="K43" s="1"/>
      <c r="L43" s="1"/>
    </row>
    <row r="44" spans="1:12" x14ac:dyDescent="0.35">
      <c r="A44" s="1"/>
      <c r="B44" s="1"/>
      <c r="C44" s="1"/>
      <c r="D44" s="1"/>
      <c r="E44" s="1"/>
      <c r="F44" s="1"/>
      <c r="G44" s="1"/>
      <c r="H44" s="1"/>
      <c r="I44" s="1"/>
      <c r="J44" s="1"/>
      <c r="K44" s="1"/>
      <c r="L44" s="1"/>
    </row>
    <row r="45" spans="1:12" x14ac:dyDescent="0.35">
      <c r="A45" s="1"/>
      <c r="B45" s="1"/>
      <c r="C45" s="1"/>
      <c r="D45" s="1"/>
      <c r="E45" s="1"/>
      <c r="F45" s="1"/>
      <c r="G45" s="1"/>
      <c r="H45" s="1"/>
      <c r="I45" s="1"/>
      <c r="J45" s="1"/>
      <c r="K45" s="1"/>
      <c r="L45" s="1"/>
    </row>
    <row r="46" spans="1:12" x14ac:dyDescent="0.35">
      <c r="A46" s="1"/>
      <c r="B46" s="1"/>
      <c r="C46" s="1"/>
      <c r="D46" s="1"/>
      <c r="E46" s="1"/>
      <c r="F46" s="1"/>
      <c r="G46" s="1"/>
      <c r="H46" s="1"/>
      <c r="I46" s="1"/>
      <c r="J46" s="1"/>
      <c r="K46" s="1"/>
      <c r="L46" s="1"/>
    </row>
    <row r="47" spans="1:12" x14ac:dyDescent="0.35">
      <c r="A47" s="1"/>
      <c r="B47" s="1"/>
      <c r="C47" s="1"/>
      <c r="D47" s="1"/>
      <c r="E47" s="1"/>
      <c r="F47" s="1"/>
      <c r="G47" s="1"/>
      <c r="H47" s="1"/>
      <c r="I47" s="1"/>
      <c r="J47" s="1"/>
      <c r="K47" s="1"/>
      <c r="L47" s="1"/>
    </row>
    <row r="48" spans="1:12" x14ac:dyDescent="0.35">
      <c r="A48" s="1"/>
      <c r="B48" s="1"/>
      <c r="C48" s="1"/>
      <c r="D48" s="1"/>
      <c r="E48" s="1"/>
      <c r="F48" s="1"/>
      <c r="G48" s="1"/>
      <c r="H48" s="1"/>
      <c r="I48" s="1"/>
      <c r="J48" s="1"/>
      <c r="K48" s="1"/>
      <c r="L48" s="1"/>
    </row>
    <row r="49" spans="1:12" x14ac:dyDescent="0.35">
      <c r="A49" s="1"/>
      <c r="B49" s="1"/>
      <c r="C49" s="1"/>
      <c r="D49" s="1"/>
      <c r="E49" s="1"/>
      <c r="F49" s="1"/>
      <c r="G49" s="1"/>
      <c r="H49" s="1"/>
      <c r="I49" s="1"/>
      <c r="J49" s="1"/>
      <c r="K49" s="1"/>
      <c r="L49" s="1"/>
    </row>
    <row r="50" spans="1:12" x14ac:dyDescent="0.35">
      <c r="A50" s="1"/>
      <c r="B50" s="1"/>
      <c r="C50" s="1"/>
      <c r="D50" s="1"/>
      <c r="E50" s="1"/>
      <c r="F50" s="1"/>
      <c r="G50" s="1"/>
      <c r="H50" s="1"/>
      <c r="I50" s="1"/>
      <c r="J50" s="1"/>
      <c r="K50" s="1"/>
      <c r="L50" s="1"/>
    </row>
  </sheetData>
  <mergeCells count="2">
    <mergeCell ref="A2:L2"/>
    <mergeCell ref="A4:L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AA00"/>
  </sheetPr>
  <dimension ref="A1:D7"/>
  <sheetViews>
    <sheetView showGridLines="0" showRowColHeaders="0" zoomScale="145" zoomScaleNormal="145" workbookViewId="0">
      <selection activeCell="F26" sqref="F26"/>
      <extLst>
        <ext xmlns:xlsdti="http://schemas.microsoft.com/office/spreadsheetml/2023/showDataTypeIcons" uri="{77bfe23e-c014-4d31-8a63-9c772dbf06b6}">
          <xlsdti:showDataTypeIcons visible="0"/>
        </ext>
      </extLst>
    </sheetView>
  </sheetViews>
  <sheetFormatPr baseColWidth="10" defaultColWidth="8.81640625" defaultRowHeight="14.5" x14ac:dyDescent="0.35"/>
  <cols>
    <col min="1" max="4" width="20" style="4" customWidth="1"/>
  </cols>
  <sheetData>
    <row r="1" spans="1:4" ht="19.899999999999999" customHeight="1" x14ac:dyDescent="0.35">
      <c r="A1" s="21" t="s">
        <v>2</v>
      </c>
      <c r="B1" s="22"/>
      <c r="C1" s="22"/>
      <c r="D1" s="22"/>
    </row>
    <row r="3" spans="1:4" x14ac:dyDescent="0.35">
      <c r="A3" s="3" t="s">
        <v>3</v>
      </c>
      <c r="B3" s="3" t="s">
        <v>4</v>
      </c>
      <c r="C3" s="3" t="s">
        <v>5</v>
      </c>
      <c r="D3" s="3" t="s">
        <v>6</v>
      </c>
    </row>
    <row r="4" spans="1:4" x14ac:dyDescent="0.35">
      <c r="A4" s="5" t="s">
        <v>7</v>
      </c>
      <c r="B4" s="5" t="s">
        <v>8</v>
      </c>
      <c r="C4" s="5" t="s">
        <v>9</v>
      </c>
      <c r="D4" s="5" t="s">
        <v>10</v>
      </c>
    </row>
    <row r="5" spans="1:4" x14ac:dyDescent="0.35">
      <c r="A5" s="5" t="s">
        <v>11</v>
      </c>
      <c r="B5" s="5" t="s">
        <v>12</v>
      </c>
      <c r="C5" s="5" t="s">
        <v>13</v>
      </c>
      <c r="D5" s="5" t="s">
        <v>14</v>
      </c>
    </row>
    <row r="7" spans="1:4" ht="19.899999999999999" customHeight="1" x14ac:dyDescent="0.35">
      <c r="A7" s="23"/>
      <c r="B7" s="24"/>
      <c r="C7" s="24"/>
      <c r="D7" s="24"/>
    </row>
  </sheetData>
  <mergeCells count="2">
    <mergeCell ref="A1:D1"/>
    <mergeCell ref="A7:D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8D4"/>
  </sheetPr>
  <dimension ref="A1:B17"/>
  <sheetViews>
    <sheetView showGridLines="0" showRowColHeaders="0" topLeftCell="A3" zoomScale="145" zoomScaleNormal="145" workbookViewId="0">
      <selection activeCell="B7" sqref="B7"/>
      <extLst>
        <ext xmlns:xlsdti="http://schemas.microsoft.com/office/spreadsheetml/2023/showDataTypeIcons" uri="{77bfe23e-c014-4d31-8a63-9c772dbf06b6}">
          <xlsdti:showDataTypeIcons visible="0"/>
        </ext>
      </extLst>
    </sheetView>
  </sheetViews>
  <sheetFormatPr baseColWidth="10" defaultColWidth="8.81640625" defaultRowHeight="14.5" x14ac:dyDescent="0.35"/>
  <cols>
    <col min="1" max="1" width="20" customWidth="1"/>
    <col min="2" max="2" width="50" customWidth="1"/>
  </cols>
  <sheetData>
    <row r="1" spans="1:2" x14ac:dyDescent="0.35">
      <c r="A1" s="17" t="s">
        <v>15</v>
      </c>
      <c r="B1" s="17" t="s">
        <v>16</v>
      </c>
    </row>
    <row r="2" spans="1:2" x14ac:dyDescent="0.35">
      <c r="A2" t="s">
        <v>17</v>
      </c>
      <c r="B2" t="s">
        <v>18</v>
      </c>
    </row>
    <row r="3" spans="1:2" x14ac:dyDescent="0.35">
      <c r="A3" t="s">
        <v>19</v>
      </c>
      <c r="B3" t="s">
        <v>20</v>
      </c>
    </row>
    <row r="4" spans="1:2" x14ac:dyDescent="0.35">
      <c r="A4" t="s">
        <v>21</v>
      </c>
      <c r="B4" t="s">
        <v>22</v>
      </c>
    </row>
    <row r="5" spans="1:2" x14ac:dyDescent="0.35">
      <c r="A5" t="s">
        <v>23</v>
      </c>
      <c r="B5" t="s">
        <v>24</v>
      </c>
    </row>
    <row r="6" spans="1:2" x14ac:dyDescent="0.35">
      <c r="A6" t="s">
        <v>25</v>
      </c>
      <c r="B6" t="s">
        <v>26</v>
      </c>
    </row>
    <row r="7" spans="1:2" x14ac:dyDescent="0.35">
      <c r="A7" t="s">
        <v>27</v>
      </c>
      <c r="B7" t="s">
        <v>28</v>
      </c>
    </row>
    <row r="8" spans="1:2" x14ac:dyDescent="0.35">
      <c r="A8" t="s">
        <v>29</v>
      </c>
      <c r="B8" t="s">
        <v>30</v>
      </c>
    </row>
    <row r="10" spans="1:2" x14ac:dyDescent="0.35">
      <c r="A10" s="17"/>
      <c r="B10" s="17"/>
    </row>
    <row r="11" spans="1:2" x14ac:dyDescent="0.35">
      <c r="A11" s="2" t="s">
        <v>31</v>
      </c>
      <c r="B11" s="2"/>
    </row>
    <row r="12" spans="1:2" x14ac:dyDescent="0.35">
      <c r="A12" t="s">
        <v>32</v>
      </c>
      <c r="B12" t="s">
        <v>33</v>
      </c>
    </row>
    <row r="13" spans="1:2" x14ac:dyDescent="0.35">
      <c r="A13" t="s">
        <v>34</v>
      </c>
      <c r="B13" t="s">
        <v>35</v>
      </c>
    </row>
    <row r="14" spans="1:2" x14ac:dyDescent="0.35">
      <c r="A14" t="s">
        <v>36</v>
      </c>
      <c r="B14" t="s">
        <v>37</v>
      </c>
    </row>
    <row r="15" spans="1:2" x14ac:dyDescent="0.35">
      <c r="A15" t="s">
        <v>38</v>
      </c>
      <c r="B15" t="s">
        <v>39</v>
      </c>
    </row>
    <row r="16" spans="1:2" x14ac:dyDescent="0.35">
      <c r="A16" t="s">
        <v>40</v>
      </c>
      <c r="B16" t="s">
        <v>41</v>
      </c>
    </row>
    <row r="17" spans="1:2" x14ac:dyDescent="0.35">
      <c r="A17" t="s">
        <v>42</v>
      </c>
      <c r="B17" t="s">
        <v>43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85DBA-DF92-4B69-AAD8-92EFB76A5527}">
  <dimension ref="B2:D57"/>
  <sheetViews>
    <sheetView showGridLines="0" workbookViewId="0"/>
  </sheetViews>
  <sheetFormatPr baseColWidth="10" defaultRowHeight="14.5" x14ac:dyDescent="0.35"/>
  <cols>
    <col min="1" max="1" width="4" customWidth="1"/>
    <col min="2" max="2" width="31.81640625" customWidth="1"/>
    <col min="3" max="3" width="85.453125" customWidth="1"/>
    <col min="4" max="4" width="27.26953125" customWidth="1"/>
    <col min="5" max="5" width="4" customWidth="1"/>
  </cols>
  <sheetData>
    <row r="2" spans="2:4" ht="42" customHeight="1" x14ac:dyDescent="0.6">
      <c r="B2" s="152" t="s">
        <v>452</v>
      </c>
      <c r="C2" s="151"/>
      <c r="D2" s="151"/>
    </row>
    <row r="3" spans="2:4" ht="22" customHeight="1" x14ac:dyDescent="0.35">
      <c r="B3" s="99" t="s">
        <v>453</v>
      </c>
      <c r="C3" s="98"/>
      <c r="D3" s="98"/>
    </row>
    <row r="5" spans="2:4" x14ac:dyDescent="0.35">
      <c r="B5" s="153" t="s">
        <v>454</v>
      </c>
      <c r="C5" s="153"/>
      <c r="D5" s="153"/>
    </row>
    <row r="6" spans="2:4" ht="72" customHeight="1" x14ac:dyDescent="0.35">
      <c r="B6" s="155" t="s">
        <v>455</v>
      </c>
      <c r="C6" s="154"/>
      <c r="D6" s="154"/>
    </row>
    <row r="9" spans="2:4" ht="28" customHeight="1" x14ac:dyDescent="0.35">
      <c r="B9" s="156" t="s">
        <v>456</v>
      </c>
      <c r="C9" s="156"/>
      <c r="D9" s="156"/>
    </row>
    <row r="10" spans="2:4" x14ac:dyDescent="0.35">
      <c r="B10" s="143" t="s">
        <v>457</v>
      </c>
      <c r="C10" s="143" t="s">
        <v>458</v>
      </c>
      <c r="D10" s="144" t="s">
        <v>3</v>
      </c>
    </row>
    <row r="11" spans="2:4" ht="78" customHeight="1" x14ac:dyDescent="0.35">
      <c r="B11" s="160" t="s">
        <v>459</v>
      </c>
      <c r="C11" s="161" t="s">
        <v>460</v>
      </c>
      <c r="D11" s="162" t="str">
        <f>"Correl. = "&amp;TEXT(ANALYTICS_BASE!$Q$111,"0.000")&amp;CHAR(10)&amp;"Ponderado "&amp;TEXT(ANALYTICS_BASE!$Q$101,"0.00")&amp;" min vs simple "&amp;TEXT(ANALYTICS_BASE!$Q$102,"0.00")&amp;" min"</f>
        <v>Correl. = -0.068
Ponderado 4.30 min vs simple 4.36 min</v>
      </c>
    </row>
    <row r="12" spans="2:4" ht="78" customHeight="1" x14ac:dyDescent="0.35">
      <c r="B12" s="163" t="s">
        <v>461</v>
      </c>
      <c r="C12" s="164" t="s">
        <v>462</v>
      </c>
      <c r="D12" s="165" t="str">
        <f>TEXT(ANALYTICS_BASE!$Q$104,"0")&amp;" de 39 SKU A mal ubicados ("&amp;TEXT(ANALYTICS_BASE!$Q$105,"0.0%")&amp;")"&amp;CHAR(10)&amp;TEXT(ANALYTICS_BASE!$Q$106,"0")&amp;" SKU C en zona premium"</f>
        <v>20 de 39 SKU A mal ubicados (51.3%)
10 SKU C en zona premium</v>
      </c>
    </row>
    <row r="13" spans="2:4" ht="78" customHeight="1" x14ac:dyDescent="0.35">
      <c r="B13" s="163" t="s">
        <v>463</v>
      </c>
      <c r="C13" s="164" t="s">
        <v>464</v>
      </c>
      <c r="D13" s="165" t="str">
        <f>"A: "&amp;TEXT(ANALYTICS_BASE!$R$5,"0%")&amp;" SKU = "&amp;TEXT(ANALYTICS_BASE!$T$5,"0.0%")&amp;" rotación"&amp;CHAR(10)&amp;"C: "&amp;TEXT(ANALYTICS_BASE!$R$7,"0%")&amp;" SKU = "&amp;TEXT(ANALYTICS_BASE!$T$7,"0.0%")&amp;" rotación"</f>
        <v>A: 39% SKU = 55.0% rotación
C: 26% SKU = 12.3% rotación</v>
      </c>
    </row>
    <row r="14" spans="2:4" ht="78" customHeight="1" x14ac:dyDescent="0.35">
      <c r="B14" s="163" t="s">
        <v>465</v>
      </c>
      <c r="C14" s="164" t="s">
        <v>466</v>
      </c>
      <c r="D14" s="165" t="str">
        <f>"LLANTAS: "&amp;TEXT(ANALYTICS_BASE!$AA$26,"#,##0")&amp;" min-pick"&amp;CHAR(10)&amp;"3 zonas = "&amp;TEXT((ANALYTICS_BASE!$AA$26+ANALYTICS_BASE!$AA$24+ANALYTICS_BASE!$AA$27)/ANALYTICS_BASE!$Q$103,"0.0%")&amp;" del esfuerzo"</f>
        <v>LLANTAS: 32,924 min-pick
3 zonas = 62.5% del esfuerzo</v>
      </c>
    </row>
    <row r="15" spans="2:4" ht="78" customHeight="1" x14ac:dyDescent="0.35">
      <c r="B15" s="166" t="s">
        <v>467</v>
      </c>
      <c r="C15" s="167" t="s">
        <v>468</v>
      </c>
      <c r="D15" s="168" t="str">
        <f>"Ocupación global: "&amp;TEXT(ANALYTICS_BASE!$Q$110,"0.00%")&amp;CHAR(10)&amp;TEXT(ANALYTICS_BASE!$Q$112,"0")&amp;" zona sin SKU asignado"</f>
        <v>Ocupación global: 0.98%
1 zona sin SKU asignado</v>
      </c>
    </row>
    <row r="18" spans="2:4" ht="28" customHeight="1" x14ac:dyDescent="0.35">
      <c r="B18" s="157" t="s">
        <v>469</v>
      </c>
      <c r="C18" s="157"/>
      <c r="D18" s="157"/>
    </row>
    <row r="19" spans="2:4" x14ac:dyDescent="0.35">
      <c r="B19" s="145" t="s">
        <v>470</v>
      </c>
      <c r="C19" s="145" t="s">
        <v>471</v>
      </c>
      <c r="D19" s="146" t="s">
        <v>472</v>
      </c>
    </row>
    <row r="20" spans="2:4" ht="78" customHeight="1" x14ac:dyDescent="0.35">
      <c r="B20" s="160" t="s">
        <v>473</v>
      </c>
      <c r="C20" s="161" t="s">
        <v>474</v>
      </c>
      <c r="D20" s="169" t="str">
        <f>TEXT(ANALYTICS_BASE!$W$76,"#,##0")&amp;" min-pick ahorrados (6M)"&amp;CHAR(10)&amp;TEXT(ANALYTICS_BASE!$Q$108,"0.0%")&amp;" sobre esos SKU"&amp;CHAR(10)&amp;TEXT(ANALYTICS_BASE!$Q$109,"0.0%")&amp;" del CD total"</f>
        <v>33,015 min-pick ahorrados (6M)
73.3% sobre esos SKU
25.8% del CD total</v>
      </c>
    </row>
    <row r="21" spans="2:4" ht="78" customHeight="1" x14ac:dyDescent="0.35">
      <c r="B21" s="163" t="s">
        <v>475</v>
      </c>
      <c r="C21" s="164" t="s">
        <v>476</v>
      </c>
      <c r="D21" s="170" t="str">
        <f>"10 swaps directos disponibles"&amp;CHAR(10)&amp;"Sin inversión en capacidad"&amp;CHAR(10)&amp;"(ocupación actual: "&amp;TEXT(ANALYTICS_BASE!$Q$110,"0.0%")&amp;")"</f>
        <v>10 swaps directos disponibles
Sin inversión en capacidad
(ocupación actual: 1.0%)</v>
      </c>
    </row>
    <row r="22" spans="2:4" ht="78" customHeight="1" x14ac:dyDescent="0.35">
      <c r="B22" s="163" t="s">
        <v>477</v>
      </c>
      <c r="C22" s="164" t="s">
        <v>478</v>
      </c>
      <c r="D22" s="170" t="str">
        <f>TEXT(_xlfn.XLOOKUP("14. LATERALES",LAYOUT_CD!$A$2:$A$10,LAYOUT_CD!$D$2:$D$10),"#,##0")&amp;" m³ disponibles"&amp;CHAR(10)&amp;"0 SKU asignados hoy"</f>
        <v>220 m³ disponibles
0 SKU asignados hoy</v>
      </c>
    </row>
    <row r="23" spans="2:4" ht="78" customHeight="1" x14ac:dyDescent="0.35">
      <c r="B23" s="163" t="s">
        <v>479</v>
      </c>
      <c r="C23" s="164" t="s">
        <v>480</v>
      </c>
      <c r="D23" s="170" t="str">
        <f>"Base actual: "&amp;TEXT(ANALYTICS_BASE!$Q$103,"#,##0")&amp;" min-pick/6M"&amp;CHAR(10)&amp;"≈ "&amp;TEXT(ANALYTICS_BASE!$Q$103/60,"#,##0")&amp;" horas-hombre de picking"</f>
        <v>Base actual: 128,067 min-pick/6M
≈ 2,134 horas-hombre de picking</v>
      </c>
    </row>
    <row r="24" spans="2:4" ht="78" customHeight="1" x14ac:dyDescent="0.35">
      <c r="B24" s="166" t="s">
        <v>481</v>
      </c>
      <c r="C24" s="167" t="s">
        <v>482</v>
      </c>
      <c r="D24" s="171" t="str">
        <f>"Muestra = "&amp;TEXT(100/55000,"0.00%")&amp;" del universo"&amp;CHAR(10)&amp;"Motor paramétrico reutilizable"</f>
        <v>Muestra = 0.18% del universo
Motor paramétrico reutilizable</v>
      </c>
    </row>
    <row r="27" spans="2:4" ht="28" customHeight="1" x14ac:dyDescent="0.35">
      <c r="B27" s="158" t="s">
        <v>483</v>
      </c>
      <c r="C27" s="158"/>
      <c r="D27" s="158"/>
    </row>
    <row r="28" spans="2:4" x14ac:dyDescent="0.35">
      <c r="B28" s="147" t="s">
        <v>484</v>
      </c>
      <c r="C28" s="147" t="s">
        <v>485</v>
      </c>
      <c r="D28" s="148" t="s">
        <v>486</v>
      </c>
    </row>
    <row r="29" spans="2:4" ht="78" customHeight="1" x14ac:dyDescent="0.35">
      <c r="B29" s="160" t="s">
        <v>487</v>
      </c>
      <c r="C29" s="161" t="s">
        <v>488</v>
      </c>
      <c r="D29" s="162" t="s">
        <v>489</v>
      </c>
    </row>
    <row r="30" spans="2:4" ht="78" customHeight="1" x14ac:dyDescent="0.35">
      <c r="B30" s="163" t="s">
        <v>490</v>
      </c>
      <c r="C30" s="164" t="s">
        <v>491</v>
      </c>
      <c r="D30" s="165" t="str">
        <f>TEXT(SUM(ANALYTICS_BASE!$X$85:$X$89),"0")&amp;" SKU superan 40 kg"&amp;CHAR(10)&amp;"Máx. "&amp;TEXT(MAX(ANALYTICS_BASE!$U$85:$U$89),"0.0")&amp;" kg"</f>
        <v>24 SKU superan 40 kg
Máx. 49.3 kg</v>
      </c>
    </row>
    <row r="31" spans="2:4" ht="78" customHeight="1" x14ac:dyDescent="0.35">
      <c r="B31" s="163" t="s">
        <v>492</v>
      </c>
      <c r="C31" s="164" t="s">
        <v>493</v>
      </c>
      <c r="D31" s="165" t="s">
        <v>494</v>
      </c>
    </row>
    <row r="32" spans="2:4" ht="78" customHeight="1" x14ac:dyDescent="0.35">
      <c r="B32" s="163" t="s">
        <v>495</v>
      </c>
      <c r="C32" s="164" t="s">
        <v>496</v>
      </c>
      <c r="D32" s="165" t="s">
        <v>497</v>
      </c>
    </row>
    <row r="33" spans="2:4" ht="78" customHeight="1" x14ac:dyDescent="0.35">
      <c r="B33" s="166" t="s">
        <v>498</v>
      </c>
      <c r="C33" s="167" t="s">
        <v>499</v>
      </c>
      <c r="D33" s="168" t="s">
        <v>500</v>
      </c>
    </row>
    <row r="36" spans="2:4" ht="28" customHeight="1" x14ac:dyDescent="0.35">
      <c r="B36" s="159" t="s">
        <v>501</v>
      </c>
      <c r="C36" s="159"/>
      <c r="D36" s="159"/>
    </row>
    <row r="37" spans="2:4" x14ac:dyDescent="0.35">
      <c r="B37" s="149" t="s">
        <v>502</v>
      </c>
      <c r="C37" s="149" t="s">
        <v>503</v>
      </c>
      <c r="D37" s="150" t="s">
        <v>504</v>
      </c>
    </row>
    <row r="38" spans="2:4" ht="78" customHeight="1" x14ac:dyDescent="0.35">
      <c r="B38" s="160" t="s">
        <v>505</v>
      </c>
      <c r="C38" s="161" t="s">
        <v>506</v>
      </c>
      <c r="D38" s="172" t="s">
        <v>507</v>
      </c>
    </row>
    <row r="39" spans="2:4" ht="78" customHeight="1" x14ac:dyDescent="0.35">
      <c r="B39" s="163" t="s">
        <v>508</v>
      </c>
      <c r="C39" s="164" t="s">
        <v>509</v>
      </c>
      <c r="D39" s="173" t="s">
        <v>507</v>
      </c>
    </row>
    <row r="40" spans="2:4" ht="78" customHeight="1" x14ac:dyDescent="0.35">
      <c r="B40" s="163" t="s">
        <v>510</v>
      </c>
      <c r="C40" s="164" t="s">
        <v>511</v>
      </c>
      <c r="D40" s="174" t="s">
        <v>512</v>
      </c>
    </row>
    <row r="41" spans="2:4" ht="78" customHeight="1" x14ac:dyDescent="0.35">
      <c r="B41" s="163" t="s">
        <v>513</v>
      </c>
      <c r="C41" s="164" t="s">
        <v>514</v>
      </c>
      <c r="D41" s="174" t="s">
        <v>512</v>
      </c>
    </row>
    <row r="42" spans="2:4" ht="78" customHeight="1" x14ac:dyDescent="0.35">
      <c r="B42" s="163" t="s">
        <v>515</v>
      </c>
      <c r="C42" s="164" t="s">
        <v>516</v>
      </c>
      <c r="D42" s="174" t="s">
        <v>512</v>
      </c>
    </row>
    <row r="43" spans="2:4" ht="78" customHeight="1" x14ac:dyDescent="0.35">
      <c r="B43" s="163" t="s">
        <v>517</v>
      </c>
      <c r="C43" s="164" t="s">
        <v>518</v>
      </c>
      <c r="D43" s="175" t="s">
        <v>519</v>
      </c>
    </row>
    <row r="44" spans="2:4" ht="78" customHeight="1" x14ac:dyDescent="0.35">
      <c r="B44" s="163" t="s">
        <v>520</v>
      </c>
      <c r="C44" s="164" t="s">
        <v>521</v>
      </c>
      <c r="D44" s="175" t="s">
        <v>519</v>
      </c>
    </row>
    <row r="45" spans="2:4" ht="78" customHeight="1" x14ac:dyDescent="0.35">
      <c r="B45" s="166" t="s">
        <v>522</v>
      </c>
      <c r="C45" s="167" t="s">
        <v>523</v>
      </c>
      <c r="D45" s="176" t="s">
        <v>519</v>
      </c>
    </row>
    <row r="48" spans="2:4" ht="28" customHeight="1" x14ac:dyDescent="0.35">
      <c r="B48" s="156" t="s">
        <v>524</v>
      </c>
      <c r="C48" s="156"/>
      <c r="D48" s="156"/>
    </row>
    <row r="49" spans="2:4" x14ac:dyDescent="0.35">
      <c r="B49" s="143" t="s">
        <v>525</v>
      </c>
      <c r="C49" s="143" t="s">
        <v>526</v>
      </c>
      <c r="D49" s="144" t="s">
        <v>527</v>
      </c>
    </row>
    <row r="50" spans="2:4" ht="78" customHeight="1" x14ac:dyDescent="0.35">
      <c r="B50" s="160" t="s">
        <v>528</v>
      </c>
      <c r="C50" s="161" t="s">
        <v>529</v>
      </c>
      <c r="D50" s="177" t="s">
        <v>530</v>
      </c>
    </row>
    <row r="51" spans="2:4" ht="78" customHeight="1" x14ac:dyDescent="0.35">
      <c r="B51" s="163" t="s">
        <v>531</v>
      </c>
      <c r="C51" s="164" t="s">
        <v>532</v>
      </c>
      <c r="D51" s="178" t="s">
        <v>533</v>
      </c>
    </row>
    <row r="52" spans="2:4" ht="78" customHeight="1" x14ac:dyDescent="0.35">
      <c r="B52" s="163" t="s">
        <v>534</v>
      </c>
      <c r="C52" s="164" t="s">
        <v>535</v>
      </c>
      <c r="D52" s="178" t="s">
        <v>536</v>
      </c>
    </row>
    <row r="53" spans="2:4" ht="78" customHeight="1" x14ac:dyDescent="0.35">
      <c r="B53" s="163" t="s">
        <v>537</v>
      </c>
      <c r="C53" s="164" t="s">
        <v>538</v>
      </c>
      <c r="D53" s="178" t="s">
        <v>539</v>
      </c>
    </row>
    <row r="54" spans="2:4" ht="78" customHeight="1" x14ac:dyDescent="0.35">
      <c r="B54" s="163" t="s">
        <v>540</v>
      </c>
      <c r="C54" s="164" t="s">
        <v>541</v>
      </c>
      <c r="D54" s="178" t="s">
        <v>542</v>
      </c>
    </row>
    <row r="55" spans="2:4" ht="78" customHeight="1" x14ac:dyDescent="0.35">
      <c r="B55" s="163" t="s">
        <v>543</v>
      </c>
      <c r="C55" s="164" t="s">
        <v>544</v>
      </c>
      <c r="D55" s="178" t="s">
        <v>545</v>
      </c>
    </row>
    <row r="56" spans="2:4" ht="78" customHeight="1" x14ac:dyDescent="0.35">
      <c r="B56" s="163" t="s">
        <v>546</v>
      </c>
      <c r="C56" s="164" t="s">
        <v>547</v>
      </c>
      <c r="D56" s="178" t="s">
        <v>548</v>
      </c>
    </row>
    <row r="57" spans="2:4" ht="78" customHeight="1" x14ac:dyDescent="0.35">
      <c r="B57" s="166" t="s">
        <v>549</v>
      </c>
      <c r="C57" s="167" t="s">
        <v>550</v>
      </c>
      <c r="D57" s="179" t="s">
        <v>551</v>
      </c>
    </row>
  </sheetData>
  <mergeCells count="9">
    <mergeCell ref="B27:D27"/>
    <mergeCell ref="B36:D36"/>
    <mergeCell ref="B48:D48"/>
    <mergeCell ref="B2:D2"/>
    <mergeCell ref="B3:D3"/>
    <mergeCell ref="B5:D5"/>
    <mergeCell ref="B6:D6"/>
    <mergeCell ref="B9:D9"/>
    <mergeCell ref="B18:D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1"/>
  <sheetViews>
    <sheetView showGridLines="0" showRowColHeaders="0" zoomScale="145" zoomScaleNormal="145" workbookViewId="0">
      <selection activeCell="I15" sqref="I15"/>
      <extLst>
        <ext xmlns:xlsdti="http://schemas.microsoft.com/office/spreadsheetml/2023/showDataTypeIcons" uri="{77bfe23e-c014-4d31-8a63-9c772dbf06b6}">
          <xlsdti:showDataTypeIcons visible="0"/>
        </ext>
      </extLst>
    </sheetView>
  </sheetViews>
  <sheetFormatPr baseColWidth="10" defaultColWidth="8.81640625" defaultRowHeight="14.5" x14ac:dyDescent="0.35"/>
  <cols>
    <col min="1" max="1" width="9.26953125" style="7" bestFit="1" customWidth="1"/>
    <col min="2" max="2" width="8" style="7" bestFit="1" customWidth="1"/>
    <col min="3" max="3" width="10.26953125" style="7" bestFit="1" customWidth="1"/>
    <col min="4" max="4" width="13.7265625" style="7" bestFit="1" customWidth="1"/>
    <col min="5" max="5" width="8.7265625" style="7" bestFit="1" customWidth="1"/>
    <col min="6" max="16384" width="8.81640625" style="7"/>
  </cols>
  <sheetData>
    <row r="1" spans="1:11" x14ac:dyDescent="0.35">
      <c r="A1" s="6" t="s">
        <v>17</v>
      </c>
      <c r="B1" s="6" t="s">
        <v>44</v>
      </c>
      <c r="C1" s="6" t="s">
        <v>45</v>
      </c>
      <c r="D1" s="6" t="s">
        <v>46</v>
      </c>
      <c r="E1" s="6" t="s">
        <v>47</v>
      </c>
    </row>
    <row r="2" spans="1:11" x14ac:dyDescent="0.35">
      <c r="A2" s="7" t="s">
        <v>48</v>
      </c>
      <c r="B2" s="7" t="s">
        <v>49</v>
      </c>
      <c r="C2" s="7" t="s">
        <v>50</v>
      </c>
      <c r="D2" s="8">
        <v>0.21854305348131309</v>
      </c>
      <c r="E2" s="9">
        <v>2.055744691493345</v>
      </c>
    </row>
    <row r="3" spans="1:11" x14ac:dyDescent="0.35">
      <c r="A3" s="7" t="s">
        <v>51</v>
      </c>
      <c r="B3" s="7" t="s">
        <v>52</v>
      </c>
      <c r="C3" s="7" t="s">
        <v>53</v>
      </c>
      <c r="D3" s="8">
        <v>0.4778214378844623</v>
      </c>
      <c r="E3" s="9">
        <v>32.00231535755713</v>
      </c>
    </row>
    <row r="4" spans="1:11" x14ac:dyDescent="0.35">
      <c r="A4" s="7" t="s">
        <v>54</v>
      </c>
      <c r="B4" s="7" t="s">
        <v>55</v>
      </c>
      <c r="C4" s="7" t="s">
        <v>56</v>
      </c>
      <c r="D4" s="8">
        <v>0.37939727381513227</v>
      </c>
      <c r="E4" s="9">
        <v>16.06062106327817</v>
      </c>
      <c r="G4" s="7" t="s">
        <v>45</v>
      </c>
      <c r="H4" s="7" t="s">
        <v>289</v>
      </c>
      <c r="J4" s="7" t="s">
        <v>296</v>
      </c>
      <c r="K4" s="7" t="s">
        <v>289</v>
      </c>
    </row>
    <row r="5" spans="1:11" x14ac:dyDescent="0.35">
      <c r="A5" s="7" t="s">
        <v>57</v>
      </c>
      <c r="B5" s="7" t="s">
        <v>58</v>
      </c>
      <c r="C5" s="7" t="s">
        <v>59</v>
      </c>
      <c r="D5" s="8">
        <v>0.31939631788866651</v>
      </c>
      <c r="E5" s="9">
        <v>25.674249212652789</v>
      </c>
      <c r="G5" s="7" t="s">
        <v>290</v>
      </c>
      <c r="H5" s="7">
        <f>COUNTIF(C2:C101,"*Filtros*")</f>
        <v>20</v>
      </c>
      <c r="J5" s="7" t="s">
        <v>297</v>
      </c>
      <c r="K5" s="7">
        <f>COUNTIF(B2:B101,"*Marca A*")</f>
        <v>20</v>
      </c>
    </row>
    <row r="6" spans="1:11" x14ac:dyDescent="0.35">
      <c r="A6" s="7" t="s">
        <v>60</v>
      </c>
      <c r="B6" s="7" t="s">
        <v>61</v>
      </c>
      <c r="C6" s="7" t="s">
        <v>62</v>
      </c>
      <c r="D6" s="8">
        <v>0.12020838819909641</v>
      </c>
      <c r="E6" s="9">
        <v>45.424540459341607</v>
      </c>
      <c r="G6" s="7" t="s">
        <v>291</v>
      </c>
      <c r="H6" s="7">
        <f>COUNTIF($C$2:$C$101,"*Lubricantes*")</f>
        <v>20</v>
      </c>
      <c r="J6" s="7" t="s">
        <v>298</v>
      </c>
      <c r="K6" s="7">
        <f>COUNTIF(B2:B101,"*Marca B*")</f>
        <v>20</v>
      </c>
    </row>
    <row r="7" spans="1:11" x14ac:dyDescent="0.35">
      <c r="A7" s="7" t="s">
        <v>63</v>
      </c>
      <c r="B7" s="7" t="s">
        <v>49</v>
      </c>
      <c r="C7" s="7" t="s">
        <v>50</v>
      </c>
      <c r="D7" s="8">
        <v>0.1201975341512912</v>
      </c>
      <c r="E7" s="9">
        <v>12.839965342869309</v>
      </c>
      <c r="G7" s="7" t="s">
        <v>292</v>
      </c>
      <c r="H7" s="7">
        <f>COUNTIF($C$2:$C$101,"*Pastillas*")</f>
        <v>20</v>
      </c>
      <c r="J7" s="7" t="s">
        <v>299</v>
      </c>
      <c r="K7" s="7">
        <f>COUNTIF($B$2:$B$103,"*Marca C*")</f>
        <v>20</v>
      </c>
    </row>
    <row r="8" spans="1:11" x14ac:dyDescent="0.35">
      <c r="A8" s="7" t="s">
        <v>64</v>
      </c>
      <c r="B8" s="7" t="s">
        <v>52</v>
      </c>
      <c r="C8" s="7" t="s">
        <v>53</v>
      </c>
      <c r="D8" s="8">
        <v>7.6137625475689766E-2</v>
      </c>
      <c r="E8" s="9">
        <v>20.813954690263671</v>
      </c>
      <c r="G8" s="7" t="s">
        <v>293</v>
      </c>
      <c r="H8" s="7">
        <f>COUNTIF($C$2:$C$101,"Correas")</f>
        <v>20</v>
      </c>
      <c r="J8" s="7" t="s">
        <v>300</v>
      </c>
      <c r="K8" s="7">
        <f>COUNTIF($B$2:$B$103,"*Marca D*")</f>
        <v>20</v>
      </c>
    </row>
    <row r="9" spans="1:11" x14ac:dyDescent="0.35">
      <c r="A9" s="7" t="s">
        <v>65</v>
      </c>
      <c r="B9" s="7" t="s">
        <v>55</v>
      </c>
      <c r="C9" s="7" t="s">
        <v>56</v>
      </c>
      <c r="D9" s="8">
        <v>0.43977926559872083</v>
      </c>
      <c r="E9" s="9">
        <v>37.899781357880912</v>
      </c>
      <c r="G9" s="7" t="s">
        <v>294</v>
      </c>
      <c r="H9" s="7">
        <f>COUNTIF(C3:C102,"*Soportes*")</f>
        <v>20</v>
      </c>
      <c r="J9" s="7" t="s">
        <v>301</v>
      </c>
      <c r="K9" s="7">
        <f>COUNTIF($B$2:$B$103,"*Marca E*")</f>
        <v>20</v>
      </c>
    </row>
    <row r="10" spans="1:11" x14ac:dyDescent="0.35">
      <c r="A10" s="7" t="s">
        <v>66</v>
      </c>
      <c r="B10" s="7" t="s">
        <v>58</v>
      </c>
      <c r="C10" s="7" t="s">
        <v>59</v>
      </c>
      <c r="D10" s="8">
        <v>0.32050175528444402</v>
      </c>
      <c r="E10" s="9">
        <v>11.825509191835311</v>
      </c>
    </row>
    <row r="11" spans="1:11" x14ac:dyDescent="0.35">
      <c r="A11" s="7" t="s">
        <v>67</v>
      </c>
      <c r="B11" s="7" t="s">
        <v>61</v>
      </c>
      <c r="C11" s="7" t="s">
        <v>62</v>
      </c>
      <c r="D11" s="8">
        <v>0.36863266000822048</v>
      </c>
      <c r="E11" s="9">
        <v>4.3105055365252536</v>
      </c>
    </row>
    <row r="12" spans="1:11" x14ac:dyDescent="0.35">
      <c r="A12" s="7" t="s">
        <v>68</v>
      </c>
      <c r="B12" s="7" t="s">
        <v>49</v>
      </c>
      <c r="C12" s="7" t="s">
        <v>50</v>
      </c>
      <c r="D12" s="8">
        <v>5.9263022433111101E-2</v>
      </c>
      <c r="E12" s="9">
        <v>14.842696919231519</v>
      </c>
      <c r="G12" s="7" t="s">
        <v>295</v>
      </c>
      <c r="H12" s="7">
        <f>COUNTIF(C2:C101,"*")</f>
        <v>100</v>
      </c>
    </row>
    <row r="13" spans="1:11" x14ac:dyDescent="0.35">
      <c r="A13" s="7" t="s">
        <v>69</v>
      </c>
      <c r="B13" s="7" t="s">
        <v>52</v>
      </c>
      <c r="C13" s="7" t="s">
        <v>53</v>
      </c>
      <c r="D13" s="8">
        <v>0.48645943347289738</v>
      </c>
      <c r="E13" s="9">
        <v>8.4804537190732177</v>
      </c>
    </row>
    <row r="14" spans="1:11" x14ac:dyDescent="0.35">
      <c r="A14" s="7" t="s">
        <v>70</v>
      </c>
      <c r="B14" s="7" t="s">
        <v>55</v>
      </c>
      <c r="C14" s="7" t="s">
        <v>56</v>
      </c>
      <c r="D14" s="8">
        <v>0.42459918836018978</v>
      </c>
      <c r="E14" s="9">
        <v>46.520033790957363</v>
      </c>
    </row>
    <row r="15" spans="1:11" x14ac:dyDescent="0.35">
      <c r="A15" s="7" t="s">
        <v>71</v>
      </c>
      <c r="B15" s="7" t="s">
        <v>58</v>
      </c>
      <c r="C15" s="7" t="s">
        <v>59</v>
      </c>
      <c r="D15" s="8">
        <v>0.14555259980522431</v>
      </c>
      <c r="E15" s="9">
        <v>40.501958788438643</v>
      </c>
    </row>
    <row r="16" spans="1:11" x14ac:dyDescent="0.35">
      <c r="A16" s="7" t="s">
        <v>72</v>
      </c>
      <c r="B16" s="7" t="s">
        <v>61</v>
      </c>
      <c r="C16" s="7" t="s">
        <v>62</v>
      </c>
      <c r="D16" s="8">
        <v>0.13182123524319531</v>
      </c>
      <c r="E16" s="9">
        <v>31.853485947265959</v>
      </c>
    </row>
    <row r="17" spans="1:5" x14ac:dyDescent="0.35">
      <c r="A17" s="7" t="s">
        <v>73</v>
      </c>
      <c r="B17" s="7" t="s">
        <v>49</v>
      </c>
      <c r="C17" s="7" t="s">
        <v>50</v>
      </c>
      <c r="D17" s="8">
        <v>0.13253202943404521</v>
      </c>
      <c r="E17" s="9">
        <v>43.637299214292028</v>
      </c>
    </row>
    <row r="18" spans="1:5" x14ac:dyDescent="0.35">
      <c r="A18" s="7" t="s">
        <v>74</v>
      </c>
      <c r="B18" s="7" t="s">
        <v>52</v>
      </c>
      <c r="C18" s="7" t="s">
        <v>53</v>
      </c>
      <c r="D18" s="8">
        <v>0.186909009331792</v>
      </c>
      <c r="E18" s="9">
        <v>40.281767806506167</v>
      </c>
    </row>
    <row r="19" spans="1:5" x14ac:dyDescent="0.35">
      <c r="A19" s="7" t="s">
        <v>75</v>
      </c>
      <c r="B19" s="7" t="s">
        <v>55</v>
      </c>
      <c r="C19" s="7" t="s">
        <v>56</v>
      </c>
      <c r="D19" s="8">
        <v>0.28614039423450699</v>
      </c>
      <c r="E19" s="9">
        <v>9.7352179148587741</v>
      </c>
    </row>
    <row r="20" spans="1:5" x14ac:dyDescent="0.35">
      <c r="A20" s="7" t="s">
        <v>76</v>
      </c>
      <c r="B20" s="7" t="s">
        <v>58</v>
      </c>
      <c r="C20" s="7" t="s">
        <v>59</v>
      </c>
      <c r="D20" s="8">
        <v>0.2443752583889521</v>
      </c>
      <c r="E20" s="9">
        <v>44.681670425253898</v>
      </c>
    </row>
    <row r="21" spans="1:5" x14ac:dyDescent="0.35">
      <c r="A21" s="7" t="s">
        <v>77</v>
      </c>
      <c r="B21" s="7" t="s">
        <v>61</v>
      </c>
      <c r="C21" s="7" t="s">
        <v>62</v>
      </c>
      <c r="D21" s="8">
        <v>0.18105311308911889</v>
      </c>
      <c r="E21" s="9">
        <v>27.197440974824708</v>
      </c>
    </row>
    <row r="22" spans="1:5" x14ac:dyDescent="0.35">
      <c r="A22" s="7" t="s">
        <v>78</v>
      </c>
      <c r="B22" s="7" t="s">
        <v>49</v>
      </c>
      <c r="C22" s="7" t="s">
        <v>50</v>
      </c>
      <c r="D22" s="8">
        <v>0.32533380262507078</v>
      </c>
      <c r="E22" s="9">
        <v>40.468287680621103</v>
      </c>
    </row>
    <row r="23" spans="1:5" x14ac:dyDescent="0.35">
      <c r="A23" s="7" t="s">
        <v>79</v>
      </c>
      <c r="B23" s="7" t="s">
        <v>52</v>
      </c>
      <c r="C23" s="7" t="s">
        <v>53</v>
      </c>
      <c r="D23" s="8">
        <v>0.1127722372934188</v>
      </c>
      <c r="E23" s="9">
        <v>44.856519346212913</v>
      </c>
    </row>
    <row r="24" spans="1:5" x14ac:dyDescent="0.35">
      <c r="A24" s="7" t="s">
        <v>80</v>
      </c>
      <c r="B24" s="7" t="s">
        <v>55</v>
      </c>
      <c r="C24" s="7" t="s">
        <v>56</v>
      </c>
      <c r="D24" s="8">
        <v>0.18146509184084819</v>
      </c>
      <c r="E24" s="9">
        <v>16.24117201110726</v>
      </c>
    </row>
    <row r="25" spans="1:5" x14ac:dyDescent="0.35">
      <c r="A25" s="7" t="s">
        <v>81</v>
      </c>
      <c r="B25" s="7" t="s">
        <v>58</v>
      </c>
      <c r="C25" s="7" t="s">
        <v>59</v>
      </c>
      <c r="D25" s="8">
        <v>0.21486282948216129</v>
      </c>
      <c r="E25" s="9">
        <v>5.9475702641199986</v>
      </c>
    </row>
    <row r="26" spans="1:5" x14ac:dyDescent="0.35">
      <c r="A26" s="7" t="s">
        <v>82</v>
      </c>
      <c r="B26" s="7" t="s">
        <v>61</v>
      </c>
      <c r="C26" s="7" t="s">
        <v>62</v>
      </c>
      <c r="D26" s="8">
        <v>0.25523149289766622</v>
      </c>
      <c r="E26" s="9">
        <v>11.78279054582611</v>
      </c>
    </row>
    <row r="27" spans="1:5" x14ac:dyDescent="0.35">
      <c r="A27" s="7" t="s">
        <v>83</v>
      </c>
      <c r="B27" s="7" t="s">
        <v>49</v>
      </c>
      <c r="C27" s="7" t="s">
        <v>50</v>
      </c>
      <c r="D27" s="8">
        <v>0.40332918262685608</v>
      </c>
      <c r="E27" s="9">
        <v>21.64183553699969</v>
      </c>
    </row>
    <row r="28" spans="1:5" x14ac:dyDescent="0.35">
      <c r="A28" s="7" t="s">
        <v>84</v>
      </c>
      <c r="B28" s="7" t="s">
        <v>52</v>
      </c>
      <c r="C28" s="7" t="s">
        <v>53</v>
      </c>
      <c r="D28" s="8">
        <v>0.13985320197126189</v>
      </c>
      <c r="E28" s="9">
        <v>40.991730913163408</v>
      </c>
    </row>
    <row r="29" spans="1:5" x14ac:dyDescent="0.35">
      <c r="A29" s="7" t="s">
        <v>85</v>
      </c>
      <c r="B29" s="7" t="s">
        <v>55</v>
      </c>
      <c r="C29" s="7" t="s">
        <v>56</v>
      </c>
      <c r="D29" s="8">
        <v>0.28140549728612518</v>
      </c>
      <c r="E29" s="9">
        <v>43.106163871188997</v>
      </c>
    </row>
    <row r="30" spans="1:5" x14ac:dyDescent="0.35">
      <c r="A30" s="7" t="s">
        <v>86</v>
      </c>
      <c r="B30" s="7" t="s">
        <v>58</v>
      </c>
      <c r="C30" s="7" t="s">
        <v>59</v>
      </c>
      <c r="D30" s="8">
        <v>0.31658655598791913</v>
      </c>
      <c r="E30" s="9">
        <v>0.84413046129393976</v>
      </c>
    </row>
    <row r="31" spans="1:5" x14ac:dyDescent="0.35">
      <c r="A31" s="7" t="s">
        <v>87</v>
      </c>
      <c r="B31" s="7" t="s">
        <v>61</v>
      </c>
      <c r="C31" s="7" t="s">
        <v>62</v>
      </c>
      <c r="D31" s="8">
        <v>7.0902685723998979E-2</v>
      </c>
      <c r="E31" s="9">
        <v>25.7819914775895</v>
      </c>
    </row>
    <row r="32" spans="1:5" x14ac:dyDescent="0.35">
      <c r="A32" s="7" t="s">
        <v>88</v>
      </c>
      <c r="B32" s="7" t="s">
        <v>49</v>
      </c>
      <c r="C32" s="7" t="s">
        <v>50</v>
      </c>
      <c r="D32" s="8">
        <v>0.32339518335564732</v>
      </c>
      <c r="E32" s="9">
        <v>21.161844655864559</v>
      </c>
    </row>
    <row r="33" spans="1:5" x14ac:dyDescent="0.35">
      <c r="A33" s="7" t="s">
        <v>89</v>
      </c>
      <c r="B33" s="7" t="s">
        <v>52</v>
      </c>
      <c r="C33" s="7" t="s">
        <v>53</v>
      </c>
      <c r="D33" s="8">
        <v>0.12673585565928119</v>
      </c>
      <c r="E33" s="9">
        <v>11.494336618301149</v>
      </c>
    </row>
    <row r="34" spans="1:5" x14ac:dyDescent="0.35">
      <c r="A34" s="7" t="s">
        <v>90</v>
      </c>
      <c r="B34" s="7" t="s">
        <v>55</v>
      </c>
      <c r="C34" s="7" t="s">
        <v>56</v>
      </c>
      <c r="D34" s="8">
        <v>7.9273216843375793E-2</v>
      </c>
      <c r="E34" s="9">
        <v>6.4333356830172992</v>
      </c>
    </row>
    <row r="35" spans="1:5" x14ac:dyDescent="0.35">
      <c r="A35" s="7" t="s">
        <v>91</v>
      </c>
      <c r="B35" s="7" t="s">
        <v>58</v>
      </c>
      <c r="C35" s="7" t="s">
        <v>59</v>
      </c>
      <c r="D35" s="8">
        <v>0.47699849176399989</v>
      </c>
      <c r="E35" s="9">
        <v>17.211950984479579</v>
      </c>
    </row>
    <row r="36" spans="1:5" x14ac:dyDescent="0.35">
      <c r="A36" s="7" t="s">
        <v>92</v>
      </c>
      <c r="B36" s="7" t="s">
        <v>61</v>
      </c>
      <c r="C36" s="7" t="s">
        <v>62</v>
      </c>
      <c r="D36" s="8">
        <v>0.4845344148835517</v>
      </c>
      <c r="E36" s="9">
        <v>47.174030343669699</v>
      </c>
    </row>
    <row r="37" spans="1:5" x14ac:dyDescent="0.35">
      <c r="A37" s="7" t="s">
        <v>93</v>
      </c>
      <c r="B37" s="7" t="s">
        <v>49</v>
      </c>
      <c r="C37" s="7" t="s">
        <v>50</v>
      </c>
      <c r="D37" s="8">
        <v>0.41377880665240752</v>
      </c>
      <c r="E37" s="9">
        <v>16.498545135027381</v>
      </c>
    </row>
    <row r="38" spans="1:5" x14ac:dyDescent="0.35">
      <c r="A38" s="7" t="s">
        <v>94</v>
      </c>
      <c r="B38" s="7" t="s">
        <v>52</v>
      </c>
      <c r="C38" s="7" t="s">
        <v>53</v>
      </c>
      <c r="D38" s="8">
        <v>0.18707619612801679</v>
      </c>
      <c r="E38" s="9">
        <v>26.18013577629662</v>
      </c>
    </row>
    <row r="39" spans="1:5" x14ac:dyDescent="0.35">
      <c r="A39" s="7" t="s">
        <v>95</v>
      </c>
      <c r="B39" s="7" t="s">
        <v>55</v>
      </c>
      <c r="C39" s="7" t="s">
        <v>56</v>
      </c>
      <c r="D39" s="8">
        <v>9.3952451302872747E-2</v>
      </c>
      <c r="E39" s="9">
        <v>35.299438465311297</v>
      </c>
    </row>
    <row r="40" spans="1:5" x14ac:dyDescent="0.35">
      <c r="A40" s="7" t="s">
        <v>96</v>
      </c>
      <c r="B40" s="7" t="s">
        <v>58</v>
      </c>
      <c r="C40" s="7" t="s">
        <v>59</v>
      </c>
      <c r="D40" s="8">
        <v>0.35790486193047061</v>
      </c>
      <c r="E40" s="9">
        <v>18.499665317775051</v>
      </c>
    </row>
    <row r="41" spans="1:5" x14ac:dyDescent="0.35">
      <c r="A41" s="7" t="s">
        <v>97</v>
      </c>
      <c r="B41" s="7" t="s">
        <v>61</v>
      </c>
      <c r="C41" s="7" t="s">
        <v>62</v>
      </c>
      <c r="D41" s="8">
        <v>0.24806862218282061</v>
      </c>
      <c r="E41" s="9">
        <v>48.603213094687547</v>
      </c>
    </row>
    <row r="42" spans="1:5" x14ac:dyDescent="0.35">
      <c r="A42" s="7" t="s">
        <v>98</v>
      </c>
      <c r="B42" s="7" t="s">
        <v>49</v>
      </c>
      <c r="C42" s="7" t="s">
        <v>50</v>
      </c>
      <c r="D42" s="8">
        <v>0.1049172056801505</v>
      </c>
      <c r="E42" s="9">
        <v>48.141141099634503</v>
      </c>
    </row>
    <row r="43" spans="1:5" x14ac:dyDescent="0.35">
      <c r="A43" s="7" t="s">
        <v>99</v>
      </c>
      <c r="B43" s="7" t="s">
        <v>52</v>
      </c>
      <c r="C43" s="7" t="s">
        <v>53</v>
      </c>
      <c r="D43" s="8">
        <v>0.27282960955007157</v>
      </c>
      <c r="E43" s="9">
        <v>12.96322364335553</v>
      </c>
    </row>
    <row r="44" spans="1:5" x14ac:dyDescent="0.35">
      <c r="A44" s="7" t="s">
        <v>100</v>
      </c>
      <c r="B44" s="7" t="s">
        <v>55</v>
      </c>
      <c r="C44" s="7" t="s">
        <v>56</v>
      </c>
      <c r="D44" s="8">
        <v>6.5474834501848281E-2</v>
      </c>
      <c r="E44" s="9">
        <v>25.113801041673081</v>
      </c>
    </row>
    <row r="45" spans="1:5" x14ac:dyDescent="0.35">
      <c r="A45" s="7" t="s">
        <v>101</v>
      </c>
      <c r="B45" s="7" t="s">
        <v>58</v>
      </c>
      <c r="C45" s="7" t="s">
        <v>59</v>
      </c>
      <c r="D45" s="8">
        <v>0.45919418093545189</v>
      </c>
      <c r="E45" s="9">
        <v>15.393476335930099</v>
      </c>
    </row>
    <row r="46" spans="1:5" x14ac:dyDescent="0.35">
      <c r="A46" s="7" t="s">
        <v>102</v>
      </c>
      <c r="B46" s="7" t="s">
        <v>61</v>
      </c>
      <c r="C46" s="7" t="s">
        <v>62</v>
      </c>
      <c r="D46" s="8">
        <v>0.1664509917200076</v>
      </c>
      <c r="E46" s="9">
        <v>14.59960447168465</v>
      </c>
    </row>
    <row r="47" spans="1:5" x14ac:dyDescent="0.35">
      <c r="A47" s="7" t="s">
        <v>103</v>
      </c>
      <c r="B47" s="7" t="s">
        <v>49</v>
      </c>
      <c r="C47" s="7" t="s">
        <v>50</v>
      </c>
      <c r="D47" s="8">
        <v>0.34813502795929191</v>
      </c>
      <c r="E47" s="9">
        <v>2.325903894049373</v>
      </c>
    </row>
    <row r="48" spans="1:5" x14ac:dyDescent="0.35">
      <c r="A48" s="7" t="s">
        <v>104</v>
      </c>
      <c r="B48" s="7" t="s">
        <v>52</v>
      </c>
      <c r="C48" s="7" t="s">
        <v>53</v>
      </c>
      <c r="D48" s="8">
        <v>0.19026998424023489</v>
      </c>
      <c r="E48" s="9">
        <v>30.67343453200489</v>
      </c>
    </row>
    <row r="49" spans="1:5" x14ac:dyDescent="0.35">
      <c r="A49" s="7" t="s">
        <v>105</v>
      </c>
      <c r="B49" s="7" t="s">
        <v>55</v>
      </c>
      <c r="C49" s="7" t="s">
        <v>56</v>
      </c>
      <c r="D49" s="8">
        <v>0.28403060953001491</v>
      </c>
      <c r="E49" s="9">
        <v>25.38261164982864</v>
      </c>
    </row>
    <row r="50" spans="1:5" x14ac:dyDescent="0.35">
      <c r="A50" s="7" t="s">
        <v>106</v>
      </c>
      <c r="B50" s="7" t="s">
        <v>58</v>
      </c>
      <c r="C50" s="7" t="s">
        <v>59</v>
      </c>
      <c r="D50" s="8">
        <v>0.29601962570447587</v>
      </c>
      <c r="E50" s="9">
        <v>3.048198186874473</v>
      </c>
    </row>
    <row r="51" spans="1:5" x14ac:dyDescent="0.35">
      <c r="A51" s="7" t="s">
        <v>107</v>
      </c>
      <c r="B51" s="7" t="s">
        <v>61</v>
      </c>
      <c r="C51" s="7" t="s">
        <v>62</v>
      </c>
      <c r="D51" s="8">
        <v>0.13318450498648721</v>
      </c>
      <c r="E51" s="9">
        <v>14.29299997971227</v>
      </c>
    </row>
    <row r="52" spans="1:5" x14ac:dyDescent="0.35">
      <c r="A52" s="7" t="s">
        <v>108</v>
      </c>
      <c r="B52" s="7" t="s">
        <v>49</v>
      </c>
      <c r="C52" s="7" t="s">
        <v>50</v>
      </c>
      <c r="D52" s="8">
        <v>0.48631308249405142</v>
      </c>
      <c r="E52" s="9">
        <v>45.459161355349359</v>
      </c>
    </row>
    <row r="53" spans="1:5" x14ac:dyDescent="0.35">
      <c r="A53" s="7" t="s">
        <v>109</v>
      </c>
      <c r="B53" s="7" t="s">
        <v>52</v>
      </c>
      <c r="C53" s="7" t="s">
        <v>53</v>
      </c>
      <c r="D53" s="8">
        <v>0.39880977051250149</v>
      </c>
      <c r="E53" s="9">
        <v>12.358313588015131</v>
      </c>
    </row>
    <row r="54" spans="1:5" x14ac:dyDescent="0.35">
      <c r="A54" s="7" t="s">
        <v>110</v>
      </c>
      <c r="B54" s="7" t="s">
        <v>55</v>
      </c>
      <c r="C54" s="7" t="s">
        <v>56</v>
      </c>
      <c r="D54" s="8">
        <v>0.47277452370388512</v>
      </c>
      <c r="E54" s="9">
        <v>7.6722961685155431</v>
      </c>
    </row>
    <row r="55" spans="1:5" x14ac:dyDescent="0.35">
      <c r="A55" s="7" t="s">
        <v>111</v>
      </c>
      <c r="B55" s="7" t="s">
        <v>58</v>
      </c>
      <c r="C55" s="7" t="s">
        <v>59</v>
      </c>
      <c r="D55" s="8">
        <v>0.45267230769244199</v>
      </c>
      <c r="E55" s="9">
        <v>24.727911633739371</v>
      </c>
    </row>
    <row r="56" spans="1:5" x14ac:dyDescent="0.35">
      <c r="A56" s="7" t="s">
        <v>112</v>
      </c>
      <c r="B56" s="7" t="s">
        <v>61</v>
      </c>
      <c r="C56" s="7" t="s">
        <v>62</v>
      </c>
      <c r="D56" s="8">
        <v>0.31905499046498831</v>
      </c>
      <c r="E56" s="9">
        <v>49.289697478474743</v>
      </c>
    </row>
    <row r="57" spans="1:5" x14ac:dyDescent="0.35">
      <c r="A57" s="7" t="s">
        <v>113</v>
      </c>
      <c r="B57" s="7" t="s">
        <v>49</v>
      </c>
      <c r="C57" s="7" t="s">
        <v>50</v>
      </c>
      <c r="D57" s="8">
        <v>0.46484340576040262</v>
      </c>
      <c r="E57" s="9">
        <v>12.48173593981927</v>
      </c>
    </row>
    <row r="58" spans="1:5" x14ac:dyDescent="0.35">
      <c r="A58" s="7" t="s">
        <v>114</v>
      </c>
      <c r="B58" s="7" t="s">
        <v>52</v>
      </c>
      <c r="C58" s="7" t="s">
        <v>53</v>
      </c>
      <c r="D58" s="8">
        <v>8.9821625923363776E-2</v>
      </c>
      <c r="E58" s="9">
        <v>33.77070959659099</v>
      </c>
    </row>
    <row r="59" spans="1:5" x14ac:dyDescent="0.35">
      <c r="A59" s="7" t="s">
        <v>115</v>
      </c>
      <c r="B59" s="7" t="s">
        <v>55</v>
      </c>
      <c r="C59" s="7" t="s">
        <v>56</v>
      </c>
      <c r="D59" s="8">
        <v>0.13819228808861531</v>
      </c>
      <c r="E59" s="9">
        <v>38.200170958771523</v>
      </c>
    </row>
    <row r="60" spans="1:5" x14ac:dyDescent="0.35">
      <c r="A60" s="7" t="s">
        <v>116</v>
      </c>
      <c r="B60" s="7" t="s">
        <v>58</v>
      </c>
      <c r="C60" s="7" t="s">
        <v>59</v>
      </c>
      <c r="D60" s="8">
        <v>7.0352280009742141E-2</v>
      </c>
      <c r="E60" s="9">
        <v>12.263058427623781</v>
      </c>
    </row>
    <row r="61" spans="1:5" x14ac:dyDescent="0.35">
      <c r="A61" s="7" t="s">
        <v>117</v>
      </c>
      <c r="B61" s="7" t="s">
        <v>61</v>
      </c>
      <c r="C61" s="7" t="s">
        <v>62</v>
      </c>
      <c r="D61" s="8">
        <v>0.196398648843469</v>
      </c>
      <c r="E61" s="9">
        <v>36.546709256287052</v>
      </c>
    </row>
    <row r="62" spans="1:5" x14ac:dyDescent="0.35">
      <c r="A62" s="7" t="s">
        <v>118</v>
      </c>
      <c r="B62" s="7" t="s">
        <v>49</v>
      </c>
      <c r="C62" s="7" t="s">
        <v>50</v>
      </c>
      <c r="D62" s="8">
        <v>0.2249047803602669</v>
      </c>
      <c r="E62" s="9">
        <v>18.70526506960303</v>
      </c>
    </row>
    <row r="63" spans="1:5" x14ac:dyDescent="0.35">
      <c r="A63" s="7" t="s">
        <v>119</v>
      </c>
      <c r="B63" s="7" t="s">
        <v>52</v>
      </c>
      <c r="C63" s="7" t="s">
        <v>53</v>
      </c>
      <c r="D63" s="8">
        <v>0.1721070642982532</v>
      </c>
      <c r="E63" s="9">
        <v>31.79913861438218</v>
      </c>
    </row>
    <row r="64" spans="1:5" x14ac:dyDescent="0.35">
      <c r="A64" s="7" t="s">
        <v>120</v>
      </c>
      <c r="B64" s="7" t="s">
        <v>55</v>
      </c>
      <c r="C64" s="7" t="s">
        <v>56</v>
      </c>
      <c r="D64" s="8">
        <v>0.42293187911836821</v>
      </c>
      <c r="E64" s="9">
        <v>31.859720682664289</v>
      </c>
    </row>
    <row r="65" spans="1:5" x14ac:dyDescent="0.35">
      <c r="A65" s="7" t="s">
        <v>121</v>
      </c>
      <c r="B65" s="7" t="s">
        <v>58</v>
      </c>
      <c r="C65" s="7" t="s">
        <v>59</v>
      </c>
      <c r="D65" s="8">
        <v>0.2105389970121152</v>
      </c>
      <c r="E65" s="9">
        <v>27.020846861700541</v>
      </c>
    </row>
    <row r="66" spans="1:5" x14ac:dyDescent="0.35">
      <c r="A66" s="7" t="s">
        <v>122</v>
      </c>
      <c r="B66" s="7" t="s">
        <v>61</v>
      </c>
      <c r="C66" s="7" t="s">
        <v>62</v>
      </c>
      <c r="D66" s="8">
        <v>0.17642052935932129</v>
      </c>
      <c r="E66" s="9">
        <v>4.9693436176932106</v>
      </c>
    </row>
    <row r="67" spans="1:5" x14ac:dyDescent="0.35">
      <c r="A67" s="7" t="s">
        <v>123</v>
      </c>
      <c r="B67" s="7" t="s">
        <v>49</v>
      </c>
      <c r="C67" s="7" t="s">
        <v>50</v>
      </c>
      <c r="D67" s="8">
        <v>0.2942132374212118</v>
      </c>
      <c r="E67" s="9">
        <v>41.847473531667283</v>
      </c>
    </row>
    <row r="68" spans="1:5" x14ac:dyDescent="0.35">
      <c r="A68" s="7" t="s">
        <v>124</v>
      </c>
      <c r="B68" s="7" t="s">
        <v>52</v>
      </c>
      <c r="C68" s="7" t="s">
        <v>53</v>
      </c>
      <c r="D68" s="8">
        <v>0.1134159012386432</v>
      </c>
      <c r="E68" s="9">
        <v>16.37861321610092</v>
      </c>
    </row>
    <row r="69" spans="1:5" x14ac:dyDescent="0.35">
      <c r="A69" s="7" t="s">
        <v>125</v>
      </c>
      <c r="B69" s="7" t="s">
        <v>55</v>
      </c>
      <c r="C69" s="7" t="s">
        <v>56</v>
      </c>
      <c r="D69" s="8">
        <v>0.41098864133931778</v>
      </c>
      <c r="E69" s="9">
        <v>9.7326662647927851</v>
      </c>
    </row>
    <row r="70" spans="1:5" x14ac:dyDescent="0.35">
      <c r="A70" s="7" t="s">
        <v>126</v>
      </c>
      <c r="B70" s="7" t="s">
        <v>58</v>
      </c>
      <c r="C70" s="7" t="s">
        <v>59</v>
      </c>
      <c r="D70" s="8">
        <v>8.3547789655896876E-2</v>
      </c>
      <c r="E70" s="9">
        <v>2.5183695069608141</v>
      </c>
    </row>
    <row r="71" spans="1:5" x14ac:dyDescent="0.35">
      <c r="A71" s="7" t="s">
        <v>127</v>
      </c>
      <c r="B71" s="7" t="s">
        <v>61</v>
      </c>
      <c r="C71" s="7" t="s">
        <v>62</v>
      </c>
      <c r="D71" s="8">
        <v>0.49409912147023283</v>
      </c>
      <c r="E71" s="9">
        <v>29.749200687817972</v>
      </c>
    </row>
    <row r="72" spans="1:5" x14ac:dyDescent="0.35">
      <c r="A72" s="7" t="s">
        <v>128</v>
      </c>
      <c r="B72" s="7" t="s">
        <v>49</v>
      </c>
      <c r="C72" s="7" t="s">
        <v>50</v>
      </c>
      <c r="D72" s="8">
        <v>0.39751014618349578</v>
      </c>
      <c r="E72" s="9">
        <v>34.039435911192982</v>
      </c>
    </row>
    <row r="73" spans="1:5" x14ac:dyDescent="0.35">
      <c r="A73" s="7" t="s">
        <v>129</v>
      </c>
      <c r="B73" s="7" t="s">
        <v>52</v>
      </c>
      <c r="C73" s="7" t="s">
        <v>53</v>
      </c>
      <c r="D73" s="8">
        <v>0.1394220566903776</v>
      </c>
      <c r="E73" s="9">
        <v>1.32109753192888</v>
      </c>
    </row>
    <row r="74" spans="1:5" x14ac:dyDescent="0.35">
      <c r="A74" s="7" t="s">
        <v>130</v>
      </c>
      <c r="B74" s="7" t="s">
        <v>55</v>
      </c>
      <c r="C74" s="7" t="s">
        <v>56</v>
      </c>
      <c r="D74" s="8">
        <v>5.2484952705621077E-2</v>
      </c>
      <c r="E74" s="9">
        <v>25.84860638581441</v>
      </c>
    </row>
    <row r="75" spans="1:5" x14ac:dyDescent="0.35">
      <c r="A75" s="7" t="s">
        <v>131</v>
      </c>
      <c r="B75" s="7" t="s">
        <v>58</v>
      </c>
      <c r="C75" s="7" t="s">
        <v>59</v>
      </c>
      <c r="D75" s="8">
        <v>0.41695764280467529</v>
      </c>
      <c r="E75" s="9">
        <v>11.711540872297929</v>
      </c>
    </row>
    <row r="76" spans="1:5" x14ac:dyDescent="0.35">
      <c r="A76" s="7" t="s">
        <v>132</v>
      </c>
      <c r="B76" s="7" t="s">
        <v>61</v>
      </c>
      <c r="C76" s="7" t="s">
        <v>62</v>
      </c>
      <c r="D76" s="8">
        <v>0.36808580473142771</v>
      </c>
      <c r="E76" s="9">
        <v>32.436053125267769</v>
      </c>
    </row>
    <row r="77" spans="1:5" x14ac:dyDescent="0.35">
      <c r="A77" s="7" t="s">
        <v>133</v>
      </c>
      <c r="B77" s="7" t="s">
        <v>49</v>
      </c>
      <c r="C77" s="7" t="s">
        <v>50</v>
      </c>
      <c r="D77" s="8">
        <v>0.37805322561844429</v>
      </c>
      <c r="E77" s="9">
        <v>9.1311382357470769</v>
      </c>
    </row>
    <row r="78" spans="1:5" x14ac:dyDescent="0.35">
      <c r="A78" s="7" t="s">
        <v>134</v>
      </c>
      <c r="B78" s="7" t="s">
        <v>52</v>
      </c>
      <c r="C78" s="7" t="s">
        <v>53</v>
      </c>
      <c r="D78" s="8">
        <v>0.39707165600867561</v>
      </c>
      <c r="E78" s="9">
        <v>34.701418036072063</v>
      </c>
    </row>
    <row r="79" spans="1:5" x14ac:dyDescent="0.35">
      <c r="A79" s="7" t="s">
        <v>135</v>
      </c>
      <c r="B79" s="7" t="s">
        <v>55</v>
      </c>
      <c r="C79" s="7" t="s">
        <v>56</v>
      </c>
      <c r="D79" s="8">
        <v>8.3320093280340665E-2</v>
      </c>
      <c r="E79" s="9">
        <v>19.643399641876599</v>
      </c>
    </row>
    <row r="80" spans="1:5" x14ac:dyDescent="0.35">
      <c r="A80" s="7" t="s">
        <v>136</v>
      </c>
      <c r="B80" s="7" t="s">
        <v>58</v>
      </c>
      <c r="C80" s="7" t="s">
        <v>59</v>
      </c>
      <c r="D80" s="8">
        <v>0.21130957784492271</v>
      </c>
      <c r="E80" s="9">
        <v>46.86813444246836</v>
      </c>
    </row>
    <row r="81" spans="1:5" x14ac:dyDescent="0.35">
      <c r="A81" s="7" t="s">
        <v>137</v>
      </c>
      <c r="B81" s="7" t="s">
        <v>61</v>
      </c>
      <c r="C81" s="7" t="s">
        <v>62</v>
      </c>
      <c r="D81" s="8">
        <v>0.1021410767863084</v>
      </c>
      <c r="E81" s="9">
        <v>7.3072867352266657</v>
      </c>
    </row>
    <row r="82" spans="1:5" x14ac:dyDescent="0.35">
      <c r="A82" s="7" t="s">
        <v>138</v>
      </c>
      <c r="B82" s="7" t="s">
        <v>49</v>
      </c>
      <c r="C82" s="7" t="s">
        <v>50</v>
      </c>
      <c r="D82" s="8">
        <v>0.43839654164401709</v>
      </c>
      <c r="E82" s="9">
        <v>17.3827843769878</v>
      </c>
    </row>
    <row r="83" spans="1:5" x14ac:dyDescent="0.35">
      <c r="A83" s="7" t="s">
        <v>139</v>
      </c>
      <c r="B83" s="7" t="s">
        <v>52</v>
      </c>
      <c r="C83" s="7" t="s">
        <v>53</v>
      </c>
      <c r="D83" s="8">
        <v>0.33048415707240109</v>
      </c>
      <c r="E83" s="9">
        <v>6.1169393014091593</v>
      </c>
    </row>
    <row r="84" spans="1:5" x14ac:dyDescent="0.35">
      <c r="A84" s="7" t="s">
        <v>140</v>
      </c>
      <c r="B84" s="7" t="s">
        <v>55</v>
      </c>
      <c r="C84" s="7" t="s">
        <v>56</v>
      </c>
      <c r="D84" s="8">
        <v>0.19890411118369219</v>
      </c>
      <c r="E84" s="9">
        <v>46.272334104788861</v>
      </c>
    </row>
    <row r="85" spans="1:5" x14ac:dyDescent="0.35">
      <c r="A85" s="7" t="s">
        <v>141</v>
      </c>
      <c r="B85" s="7" t="s">
        <v>58</v>
      </c>
      <c r="C85" s="7" t="s">
        <v>59</v>
      </c>
      <c r="D85" s="8">
        <v>7.8601257628710647E-2</v>
      </c>
      <c r="E85" s="9">
        <v>43.928297992358559</v>
      </c>
    </row>
    <row r="86" spans="1:5" x14ac:dyDescent="0.35">
      <c r="A86" s="7" t="s">
        <v>142</v>
      </c>
      <c r="B86" s="7" t="s">
        <v>61</v>
      </c>
      <c r="C86" s="7" t="s">
        <v>62</v>
      </c>
      <c r="D86" s="8">
        <v>0.18994204477204801</v>
      </c>
      <c r="E86" s="9">
        <v>13.2681105719002</v>
      </c>
    </row>
    <row r="87" spans="1:5" x14ac:dyDescent="0.35">
      <c r="A87" s="7" t="s">
        <v>143</v>
      </c>
      <c r="B87" s="7" t="s">
        <v>49</v>
      </c>
      <c r="C87" s="7" t="s">
        <v>50</v>
      </c>
      <c r="D87" s="8">
        <v>0.19633249491203619</v>
      </c>
      <c r="E87" s="9">
        <v>33.169210278691857</v>
      </c>
    </row>
    <row r="88" spans="1:5" x14ac:dyDescent="0.35">
      <c r="A88" s="7" t="s">
        <v>144</v>
      </c>
      <c r="B88" s="7" t="s">
        <v>52</v>
      </c>
      <c r="C88" s="7" t="s">
        <v>53</v>
      </c>
      <c r="D88" s="8">
        <v>0.37832278025212879</v>
      </c>
      <c r="E88" s="9">
        <v>40.952498909960177</v>
      </c>
    </row>
    <row r="89" spans="1:5" x14ac:dyDescent="0.35">
      <c r="A89" s="7" t="s">
        <v>145</v>
      </c>
      <c r="B89" s="7" t="s">
        <v>55</v>
      </c>
      <c r="C89" s="7" t="s">
        <v>56</v>
      </c>
      <c r="D89" s="8">
        <v>0.33690086210984588</v>
      </c>
      <c r="E89" s="9">
        <v>27.98244017417338</v>
      </c>
    </row>
    <row r="90" spans="1:5" x14ac:dyDescent="0.35">
      <c r="A90" s="7" t="s">
        <v>146</v>
      </c>
      <c r="B90" s="7" t="s">
        <v>58</v>
      </c>
      <c r="C90" s="7" t="s">
        <v>59</v>
      </c>
      <c r="D90" s="8">
        <v>0.44924573415934688</v>
      </c>
      <c r="E90" s="9">
        <v>26.717703628622321</v>
      </c>
    </row>
    <row r="91" spans="1:5" x14ac:dyDescent="0.35">
      <c r="A91" s="7" t="s">
        <v>147</v>
      </c>
      <c r="B91" s="7" t="s">
        <v>61</v>
      </c>
      <c r="C91" s="7" t="s">
        <v>62</v>
      </c>
      <c r="D91" s="8">
        <v>0.26249671632287719</v>
      </c>
      <c r="E91" s="9">
        <v>12.47168839957236</v>
      </c>
    </row>
    <row r="92" spans="1:5" x14ac:dyDescent="0.35">
      <c r="A92" s="7" t="s">
        <v>148</v>
      </c>
      <c r="B92" s="7" t="s">
        <v>49</v>
      </c>
      <c r="C92" s="7" t="s">
        <v>50</v>
      </c>
      <c r="D92" s="8">
        <v>0.10381741067223579</v>
      </c>
      <c r="E92" s="9">
        <v>5.1085870063920114</v>
      </c>
    </row>
    <row r="93" spans="1:5" x14ac:dyDescent="0.35">
      <c r="A93" s="7" t="s">
        <v>149</v>
      </c>
      <c r="B93" s="7" t="s">
        <v>52</v>
      </c>
      <c r="C93" s="7" t="s">
        <v>53</v>
      </c>
      <c r="D93" s="8">
        <v>0.37096015425034767</v>
      </c>
      <c r="E93" s="9">
        <v>44.912180018689668</v>
      </c>
    </row>
    <row r="94" spans="1:5" x14ac:dyDescent="0.35">
      <c r="A94" s="7" t="s">
        <v>150</v>
      </c>
      <c r="B94" s="7" t="s">
        <v>55</v>
      </c>
      <c r="C94" s="7" t="s">
        <v>56</v>
      </c>
      <c r="D94" s="8">
        <v>0.39235327187760383</v>
      </c>
      <c r="E94" s="9">
        <v>45.070693829584847</v>
      </c>
    </row>
    <row r="95" spans="1:5" x14ac:dyDescent="0.35">
      <c r="A95" s="7" t="s">
        <v>151</v>
      </c>
      <c r="B95" s="7" t="s">
        <v>58</v>
      </c>
      <c r="C95" s="7" t="s">
        <v>59</v>
      </c>
      <c r="D95" s="8">
        <v>0.30257473890627329</v>
      </c>
      <c r="E95" s="9">
        <v>31.838522135026761</v>
      </c>
    </row>
    <row r="96" spans="1:5" x14ac:dyDescent="0.35">
      <c r="A96" s="7" t="s">
        <v>152</v>
      </c>
      <c r="B96" s="7" t="s">
        <v>61</v>
      </c>
      <c r="C96" s="7" t="s">
        <v>62</v>
      </c>
      <c r="D96" s="8">
        <v>0.39693523097955252</v>
      </c>
      <c r="E96" s="9">
        <v>17.28197465691068</v>
      </c>
    </row>
    <row r="97" spans="1:5" x14ac:dyDescent="0.35">
      <c r="A97" s="7" t="s">
        <v>153</v>
      </c>
      <c r="B97" s="7" t="s">
        <v>49</v>
      </c>
      <c r="C97" s="7" t="s">
        <v>50</v>
      </c>
      <c r="D97" s="8">
        <v>0.27220801836397579</v>
      </c>
      <c r="E97" s="9">
        <v>17.78587394332671</v>
      </c>
    </row>
    <row r="98" spans="1:5" x14ac:dyDescent="0.35">
      <c r="A98" s="7" t="s">
        <v>154</v>
      </c>
      <c r="B98" s="7" t="s">
        <v>52</v>
      </c>
      <c r="C98" s="7" t="s">
        <v>53</v>
      </c>
      <c r="D98" s="8">
        <v>0.28522977322189741</v>
      </c>
      <c r="E98" s="9">
        <v>36.434806104076848</v>
      </c>
    </row>
    <row r="99" spans="1:5" x14ac:dyDescent="0.35">
      <c r="A99" s="7" t="s">
        <v>155</v>
      </c>
      <c r="B99" s="7" t="s">
        <v>55</v>
      </c>
      <c r="C99" s="7" t="s">
        <v>56</v>
      </c>
      <c r="D99" s="8">
        <v>0.24239345826134731</v>
      </c>
      <c r="E99" s="9">
        <v>44.906957867652572</v>
      </c>
    </row>
    <row r="100" spans="1:5" x14ac:dyDescent="0.35">
      <c r="A100" s="7" t="s">
        <v>156</v>
      </c>
      <c r="B100" s="7" t="s">
        <v>58</v>
      </c>
      <c r="C100" s="7" t="s">
        <v>59</v>
      </c>
      <c r="D100" s="8">
        <v>6.1438607034842843E-2</v>
      </c>
      <c r="E100" s="9">
        <v>44.410778001123298</v>
      </c>
    </row>
    <row r="101" spans="1:5" x14ac:dyDescent="0.35">
      <c r="A101" s="7" t="s">
        <v>157</v>
      </c>
      <c r="B101" s="7" t="s">
        <v>61</v>
      </c>
      <c r="C101" s="7" t="s">
        <v>62</v>
      </c>
      <c r="D101" s="8">
        <v>9.8551142146987014E-2</v>
      </c>
      <c r="E101" s="9">
        <v>39.10383951995238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D700"/>
  </sheetPr>
  <dimension ref="A1:C101"/>
  <sheetViews>
    <sheetView showGridLines="0" showRowColHeaders="0" zoomScale="145" zoomScaleNormal="145" workbookViewId="0">
      <selection sqref="A1:C101"/>
      <extLst>
        <ext xmlns:xlsdti="http://schemas.microsoft.com/office/spreadsheetml/2023/showDataTypeIcons" uri="{77bfe23e-c014-4d31-8a63-9c772dbf06b6}">
          <xlsdti:showDataTypeIcons visible="0"/>
        </ext>
      </extLst>
    </sheetView>
  </sheetViews>
  <sheetFormatPr baseColWidth="10" defaultColWidth="8.81640625" defaultRowHeight="14.5" x14ac:dyDescent="0.35"/>
  <cols>
    <col min="1" max="3" width="15" style="7" customWidth="1"/>
  </cols>
  <sheetData>
    <row r="1" spans="1:3" x14ac:dyDescent="0.35">
      <c r="A1" s="6" t="s">
        <v>17</v>
      </c>
      <c r="B1" s="6" t="s">
        <v>158</v>
      </c>
      <c r="C1" s="6" t="s">
        <v>21</v>
      </c>
    </row>
    <row r="2" spans="1:3" x14ac:dyDescent="0.35">
      <c r="A2" s="7" t="s">
        <v>142</v>
      </c>
      <c r="B2" s="10">
        <v>496</v>
      </c>
      <c r="C2" s="7" t="s">
        <v>159</v>
      </c>
    </row>
    <row r="3" spans="1:3" x14ac:dyDescent="0.35">
      <c r="A3" s="7" t="s">
        <v>135</v>
      </c>
      <c r="B3" s="10">
        <v>485</v>
      </c>
      <c r="C3" s="7" t="s">
        <v>159</v>
      </c>
    </row>
    <row r="4" spans="1:3" x14ac:dyDescent="0.35">
      <c r="A4" s="7" t="s">
        <v>83</v>
      </c>
      <c r="B4" s="10">
        <v>484</v>
      </c>
      <c r="C4" s="7" t="s">
        <v>159</v>
      </c>
    </row>
    <row r="5" spans="1:3" x14ac:dyDescent="0.35">
      <c r="A5" s="7" t="s">
        <v>126</v>
      </c>
      <c r="B5" s="10">
        <v>479</v>
      </c>
      <c r="C5" s="7" t="s">
        <v>159</v>
      </c>
    </row>
    <row r="6" spans="1:3" x14ac:dyDescent="0.35">
      <c r="A6" s="7" t="s">
        <v>60</v>
      </c>
      <c r="B6" s="10">
        <v>465</v>
      </c>
      <c r="C6" s="7" t="s">
        <v>159</v>
      </c>
    </row>
    <row r="7" spans="1:3" x14ac:dyDescent="0.35">
      <c r="A7" s="7" t="s">
        <v>157</v>
      </c>
      <c r="B7" s="10">
        <v>460</v>
      </c>
      <c r="C7" s="7" t="s">
        <v>159</v>
      </c>
    </row>
    <row r="8" spans="1:3" x14ac:dyDescent="0.35">
      <c r="A8" s="7" t="s">
        <v>119</v>
      </c>
      <c r="B8" s="10">
        <v>453</v>
      </c>
      <c r="C8" s="7" t="s">
        <v>159</v>
      </c>
    </row>
    <row r="9" spans="1:3" x14ac:dyDescent="0.35">
      <c r="A9" s="7" t="s">
        <v>111</v>
      </c>
      <c r="B9" s="10">
        <v>452</v>
      </c>
      <c r="C9" s="7" t="s">
        <v>159</v>
      </c>
    </row>
    <row r="10" spans="1:3" x14ac:dyDescent="0.35">
      <c r="A10" s="7" t="s">
        <v>75</v>
      </c>
      <c r="B10" s="10">
        <v>451</v>
      </c>
      <c r="C10" s="7" t="s">
        <v>159</v>
      </c>
    </row>
    <row r="11" spans="1:3" x14ac:dyDescent="0.35">
      <c r="A11" s="7" t="s">
        <v>87</v>
      </c>
      <c r="B11" s="10">
        <v>450</v>
      </c>
      <c r="C11" s="7" t="s">
        <v>159</v>
      </c>
    </row>
    <row r="12" spans="1:3" x14ac:dyDescent="0.35">
      <c r="A12" s="7" t="s">
        <v>92</v>
      </c>
      <c r="B12" s="10">
        <v>448</v>
      </c>
      <c r="C12" s="7" t="s">
        <v>159</v>
      </c>
    </row>
    <row r="13" spans="1:3" x14ac:dyDescent="0.35">
      <c r="A13" s="7" t="s">
        <v>82</v>
      </c>
      <c r="B13" s="10">
        <v>439</v>
      </c>
      <c r="C13" s="7" t="s">
        <v>159</v>
      </c>
    </row>
    <row r="14" spans="1:3" x14ac:dyDescent="0.35">
      <c r="A14" s="7" t="s">
        <v>141</v>
      </c>
      <c r="B14" s="10">
        <v>438</v>
      </c>
      <c r="C14" s="7" t="s">
        <v>159</v>
      </c>
    </row>
    <row r="15" spans="1:3" x14ac:dyDescent="0.35">
      <c r="A15" s="7" t="s">
        <v>66</v>
      </c>
      <c r="B15" s="10">
        <v>432</v>
      </c>
      <c r="C15" s="7" t="s">
        <v>159</v>
      </c>
    </row>
    <row r="16" spans="1:3" x14ac:dyDescent="0.35">
      <c r="A16" s="7" t="s">
        <v>91</v>
      </c>
      <c r="B16" s="10">
        <v>431</v>
      </c>
      <c r="C16" s="7" t="s">
        <v>159</v>
      </c>
    </row>
    <row r="17" spans="1:3" x14ac:dyDescent="0.35">
      <c r="A17" s="7" t="s">
        <v>102</v>
      </c>
      <c r="B17" s="10">
        <v>426</v>
      </c>
      <c r="C17" s="7" t="s">
        <v>159</v>
      </c>
    </row>
    <row r="18" spans="1:3" x14ac:dyDescent="0.35">
      <c r="A18" s="7" t="s">
        <v>116</v>
      </c>
      <c r="B18" s="10">
        <v>426</v>
      </c>
      <c r="C18" s="7" t="s">
        <v>159</v>
      </c>
    </row>
    <row r="19" spans="1:3" x14ac:dyDescent="0.35">
      <c r="A19" s="7" t="s">
        <v>101</v>
      </c>
      <c r="B19" s="10">
        <v>425</v>
      </c>
      <c r="C19" s="7" t="s">
        <v>159</v>
      </c>
    </row>
    <row r="20" spans="1:3" x14ac:dyDescent="0.35">
      <c r="A20" s="7" t="s">
        <v>108</v>
      </c>
      <c r="B20" s="10">
        <v>423</v>
      </c>
      <c r="C20" s="7" t="s">
        <v>159</v>
      </c>
    </row>
    <row r="21" spans="1:3" x14ac:dyDescent="0.35">
      <c r="A21" s="7" t="s">
        <v>48</v>
      </c>
      <c r="B21" s="10">
        <v>422</v>
      </c>
      <c r="C21" s="7" t="s">
        <v>159</v>
      </c>
    </row>
    <row r="22" spans="1:3" x14ac:dyDescent="0.35">
      <c r="A22" s="7" t="s">
        <v>86</v>
      </c>
      <c r="B22" s="10">
        <v>419</v>
      </c>
      <c r="C22" s="7" t="s">
        <v>159</v>
      </c>
    </row>
    <row r="23" spans="1:3" x14ac:dyDescent="0.35">
      <c r="A23" s="7" t="s">
        <v>123</v>
      </c>
      <c r="B23" s="10">
        <v>417</v>
      </c>
      <c r="C23" s="7" t="s">
        <v>159</v>
      </c>
    </row>
    <row r="24" spans="1:3" x14ac:dyDescent="0.35">
      <c r="A24" s="7" t="s">
        <v>125</v>
      </c>
      <c r="B24" s="10">
        <v>415</v>
      </c>
      <c r="C24" s="7" t="s">
        <v>159</v>
      </c>
    </row>
    <row r="25" spans="1:3" x14ac:dyDescent="0.35">
      <c r="A25" s="7" t="s">
        <v>156</v>
      </c>
      <c r="B25" s="10">
        <v>408</v>
      </c>
      <c r="C25" s="7" t="s">
        <v>159</v>
      </c>
    </row>
    <row r="26" spans="1:3" x14ac:dyDescent="0.35">
      <c r="A26" s="7" t="s">
        <v>140</v>
      </c>
      <c r="B26" s="10">
        <v>408</v>
      </c>
      <c r="C26" s="7" t="s">
        <v>159</v>
      </c>
    </row>
    <row r="27" spans="1:3" x14ac:dyDescent="0.35">
      <c r="A27" s="7" t="s">
        <v>104</v>
      </c>
      <c r="B27" s="10">
        <v>406</v>
      </c>
      <c r="C27" s="7" t="s">
        <v>159</v>
      </c>
    </row>
    <row r="28" spans="1:3" x14ac:dyDescent="0.35">
      <c r="A28" s="7" t="s">
        <v>152</v>
      </c>
      <c r="B28" s="10">
        <v>402</v>
      </c>
      <c r="C28" s="7" t="s">
        <v>159</v>
      </c>
    </row>
    <row r="29" spans="1:3" x14ac:dyDescent="0.35">
      <c r="A29" s="7" t="s">
        <v>72</v>
      </c>
      <c r="B29" s="10">
        <v>401</v>
      </c>
      <c r="C29" s="7" t="s">
        <v>159</v>
      </c>
    </row>
    <row r="30" spans="1:3" x14ac:dyDescent="0.35">
      <c r="A30" s="7" t="s">
        <v>77</v>
      </c>
      <c r="B30" s="10">
        <v>399</v>
      </c>
      <c r="C30" s="7" t="s">
        <v>159</v>
      </c>
    </row>
    <row r="31" spans="1:3" x14ac:dyDescent="0.35">
      <c r="A31" s="7" t="s">
        <v>70</v>
      </c>
      <c r="B31" s="10">
        <v>398</v>
      </c>
      <c r="C31" s="7" t="s">
        <v>159</v>
      </c>
    </row>
    <row r="32" spans="1:3" x14ac:dyDescent="0.35">
      <c r="A32" s="7" t="s">
        <v>138</v>
      </c>
      <c r="B32" s="10">
        <v>395</v>
      </c>
      <c r="C32" s="7" t="s">
        <v>159</v>
      </c>
    </row>
    <row r="33" spans="1:3" x14ac:dyDescent="0.35">
      <c r="A33" s="7" t="s">
        <v>149</v>
      </c>
      <c r="B33" s="10">
        <v>394</v>
      </c>
      <c r="C33" s="7" t="s">
        <v>159</v>
      </c>
    </row>
    <row r="34" spans="1:3" x14ac:dyDescent="0.35">
      <c r="A34" s="7" t="s">
        <v>110</v>
      </c>
      <c r="B34" s="10">
        <v>382</v>
      </c>
      <c r="C34" s="7" t="s">
        <v>159</v>
      </c>
    </row>
    <row r="35" spans="1:3" x14ac:dyDescent="0.35">
      <c r="A35" s="7" t="s">
        <v>139</v>
      </c>
      <c r="B35" s="10">
        <v>382</v>
      </c>
      <c r="C35" s="7" t="s">
        <v>159</v>
      </c>
    </row>
    <row r="36" spans="1:3" x14ac:dyDescent="0.35">
      <c r="A36" s="7" t="s">
        <v>107</v>
      </c>
      <c r="B36" s="10">
        <v>363</v>
      </c>
      <c r="C36" s="7" t="s">
        <v>159</v>
      </c>
    </row>
    <row r="37" spans="1:3" x14ac:dyDescent="0.35">
      <c r="A37" s="7" t="s">
        <v>143</v>
      </c>
      <c r="B37" s="10">
        <v>361</v>
      </c>
      <c r="C37" s="7" t="s">
        <v>159</v>
      </c>
    </row>
    <row r="38" spans="1:3" x14ac:dyDescent="0.35">
      <c r="A38" s="7" t="s">
        <v>132</v>
      </c>
      <c r="B38" s="10">
        <v>359</v>
      </c>
      <c r="C38" s="7" t="s">
        <v>159</v>
      </c>
    </row>
    <row r="39" spans="1:3" x14ac:dyDescent="0.35">
      <c r="A39" s="7" t="s">
        <v>85</v>
      </c>
      <c r="B39" s="10">
        <v>353</v>
      </c>
      <c r="C39" s="7" t="s">
        <v>159</v>
      </c>
    </row>
    <row r="40" spans="1:3" x14ac:dyDescent="0.35">
      <c r="A40" s="7" t="s">
        <v>71</v>
      </c>
      <c r="B40" s="10">
        <v>352</v>
      </c>
      <c r="C40" s="7" t="s">
        <v>159</v>
      </c>
    </row>
    <row r="41" spans="1:3" x14ac:dyDescent="0.35">
      <c r="A41" s="7" t="s">
        <v>155</v>
      </c>
      <c r="B41" s="10">
        <v>346</v>
      </c>
      <c r="C41" s="7" t="s">
        <v>160</v>
      </c>
    </row>
    <row r="42" spans="1:3" x14ac:dyDescent="0.35">
      <c r="A42" s="7" t="s">
        <v>146</v>
      </c>
      <c r="B42" s="10">
        <v>342</v>
      </c>
      <c r="C42" s="7" t="s">
        <v>160</v>
      </c>
    </row>
    <row r="43" spans="1:3" x14ac:dyDescent="0.35">
      <c r="A43" s="7" t="s">
        <v>100</v>
      </c>
      <c r="B43" s="10">
        <v>340</v>
      </c>
      <c r="C43" s="7" t="s">
        <v>160</v>
      </c>
    </row>
    <row r="44" spans="1:3" x14ac:dyDescent="0.35">
      <c r="A44" s="7" t="s">
        <v>93</v>
      </c>
      <c r="B44" s="10">
        <v>338</v>
      </c>
      <c r="C44" s="7" t="s">
        <v>160</v>
      </c>
    </row>
    <row r="45" spans="1:3" x14ac:dyDescent="0.35">
      <c r="A45" s="7" t="s">
        <v>148</v>
      </c>
      <c r="B45" s="10">
        <v>335</v>
      </c>
      <c r="C45" s="7" t="s">
        <v>160</v>
      </c>
    </row>
    <row r="46" spans="1:3" x14ac:dyDescent="0.35">
      <c r="A46" s="7" t="s">
        <v>112</v>
      </c>
      <c r="B46" s="10">
        <v>332</v>
      </c>
      <c r="C46" s="7" t="s">
        <v>160</v>
      </c>
    </row>
    <row r="47" spans="1:3" x14ac:dyDescent="0.35">
      <c r="A47" s="7" t="s">
        <v>124</v>
      </c>
      <c r="B47" s="10">
        <v>326</v>
      </c>
      <c r="C47" s="7" t="s">
        <v>160</v>
      </c>
    </row>
    <row r="48" spans="1:3" x14ac:dyDescent="0.35">
      <c r="A48" s="7" t="s">
        <v>67</v>
      </c>
      <c r="B48" s="10">
        <v>316</v>
      </c>
      <c r="C48" s="7" t="s">
        <v>160</v>
      </c>
    </row>
    <row r="49" spans="1:3" x14ac:dyDescent="0.35">
      <c r="A49" s="7" t="s">
        <v>106</v>
      </c>
      <c r="B49" s="10">
        <v>315</v>
      </c>
      <c r="C49" s="7" t="s">
        <v>160</v>
      </c>
    </row>
    <row r="50" spans="1:3" x14ac:dyDescent="0.35">
      <c r="A50" s="7" t="s">
        <v>74</v>
      </c>
      <c r="B50" s="10">
        <v>314</v>
      </c>
      <c r="C50" s="7" t="s">
        <v>160</v>
      </c>
    </row>
    <row r="51" spans="1:3" x14ac:dyDescent="0.35">
      <c r="A51" s="7" t="s">
        <v>96</v>
      </c>
      <c r="B51" s="10">
        <v>314</v>
      </c>
      <c r="C51" s="7" t="s">
        <v>160</v>
      </c>
    </row>
    <row r="52" spans="1:3" x14ac:dyDescent="0.35">
      <c r="A52" s="7" t="s">
        <v>73</v>
      </c>
      <c r="B52" s="10">
        <v>302</v>
      </c>
      <c r="C52" s="7" t="s">
        <v>160</v>
      </c>
    </row>
    <row r="53" spans="1:3" x14ac:dyDescent="0.35">
      <c r="A53" s="7" t="s">
        <v>103</v>
      </c>
      <c r="B53" s="10">
        <v>300</v>
      </c>
      <c r="C53" s="7" t="s">
        <v>160</v>
      </c>
    </row>
    <row r="54" spans="1:3" x14ac:dyDescent="0.35">
      <c r="A54" s="7" t="s">
        <v>131</v>
      </c>
      <c r="B54" s="10">
        <v>299</v>
      </c>
      <c r="C54" s="7" t="s">
        <v>160</v>
      </c>
    </row>
    <row r="55" spans="1:3" x14ac:dyDescent="0.35">
      <c r="A55" s="7" t="s">
        <v>79</v>
      </c>
      <c r="B55" s="10">
        <v>298</v>
      </c>
      <c r="C55" s="7" t="s">
        <v>160</v>
      </c>
    </row>
    <row r="56" spans="1:3" x14ac:dyDescent="0.35">
      <c r="A56" s="7" t="s">
        <v>89</v>
      </c>
      <c r="B56" s="10">
        <v>296</v>
      </c>
      <c r="C56" s="7" t="s">
        <v>160</v>
      </c>
    </row>
    <row r="57" spans="1:3" x14ac:dyDescent="0.35">
      <c r="A57" s="7" t="s">
        <v>94</v>
      </c>
      <c r="B57" s="10">
        <v>294</v>
      </c>
      <c r="C57" s="7" t="s">
        <v>160</v>
      </c>
    </row>
    <row r="58" spans="1:3" x14ac:dyDescent="0.35">
      <c r="A58" s="7" t="s">
        <v>121</v>
      </c>
      <c r="B58" s="10">
        <v>286</v>
      </c>
      <c r="C58" s="7" t="s">
        <v>160</v>
      </c>
    </row>
    <row r="59" spans="1:3" x14ac:dyDescent="0.35">
      <c r="A59" s="7" t="s">
        <v>122</v>
      </c>
      <c r="B59" s="10">
        <v>281</v>
      </c>
      <c r="C59" s="7" t="s">
        <v>160</v>
      </c>
    </row>
    <row r="60" spans="1:3" x14ac:dyDescent="0.35">
      <c r="A60" s="7" t="s">
        <v>144</v>
      </c>
      <c r="B60" s="10">
        <v>277</v>
      </c>
      <c r="C60" s="7" t="s">
        <v>160</v>
      </c>
    </row>
    <row r="61" spans="1:3" x14ac:dyDescent="0.35">
      <c r="A61" s="7" t="s">
        <v>97</v>
      </c>
      <c r="B61" s="10">
        <v>266</v>
      </c>
      <c r="C61" s="7" t="s">
        <v>160</v>
      </c>
    </row>
    <row r="62" spans="1:3" x14ac:dyDescent="0.35">
      <c r="A62" s="7" t="s">
        <v>98</v>
      </c>
      <c r="B62" s="10">
        <v>265</v>
      </c>
      <c r="C62" s="7" t="s">
        <v>160</v>
      </c>
    </row>
    <row r="63" spans="1:3" x14ac:dyDescent="0.35">
      <c r="A63" s="7" t="s">
        <v>154</v>
      </c>
      <c r="B63" s="10">
        <v>263</v>
      </c>
      <c r="C63" s="7" t="s">
        <v>160</v>
      </c>
    </row>
    <row r="64" spans="1:3" x14ac:dyDescent="0.35">
      <c r="A64" s="7" t="s">
        <v>117</v>
      </c>
      <c r="B64" s="10">
        <v>250</v>
      </c>
      <c r="C64" s="7" t="s">
        <v>160</v>
      </c>
    </row>
    <row r="65" spans="1:3" x14ac:dyDescent="0.35">
      <c r="A65" s="7" t="s">
        <v>147</v>
      </c>
      <c r="B65" s="10">
        <v>246</v>
      </c>
      <c r="C65" s="7" t="s">
        <v>160</v>
      </c>
    </row>
    <row r="66" spans="1:3" x14ac:dyDescent="0.35">
      <c r="A66" s="7" t="s">
        <v>65</v>
      </c>
      <c r="B66" s="10">
        <v>236</v>
      </c>
      <c r="C66" s="7" t="s">
        <v>160</v>
      </c>
    </row>
    <row r="67" spans="1:3" x14ac:dyDescent="0.35">
      <c r="A67" s="7" t="s">
        <v>51</v>
      </c>
      <c r="B67" s="10">
        <v>236</v>
      </c>
      <c r="C67" s="7" t="s">
        <v>160</v>
      </c>
    </row>
    <row r="68" spans="1:3" x14ac:dyDescent="0.35">
      <c r="A68" s="7" t="s">
        <v>54</v>
      </c>
      <c r="B68" s="10">
        <v>231</v>
      </c>
      <c r="C68" s="7" t="s">
        <v>160</v>
      </c>
    </row>
    <row r="69" spans="1:3" x14ac:dyDescent="0.35">
      <c r="A69" s="7" t="s">
        <v>109</v>
      </c>
      <c r="B69" s="10">
        <v>227</v>
      </c>
      <c r="C69" s="7" t="s">
        <v>160</v>
      </c>
    </row>
    <row r="70" spans="1:3" x14ac:dyDescent="0.35">
      <c r="A70" s="7" t="s">
        <v>68</v>
      </c>
      <c r="B70" s="10">
        <v>219</v>
      </c>
      <c r="C70" s="7" t="s">
        <v>160</v>
      </c>
    </row>
    <row r="71" spans="1:3" x14ac:dyDescent="0.35">
      <c r="A71" s="7" t="s">
        <v>153</v>
      </c>
      <c r="B71" s="10">
        <v>211</v>
      </c>
      <c r="C71" s="7" t="s">
        <v>160</v>
      </c>
    </row>
    <row r="72" spans="1:3" x14ac:dyDescent="0.35">
      <c r="A72" s="7" t="s">
        <v>113</v>
      </c>
      <c r="B72" s="10">
        <v>210</v>
      </c>
      <c r="C72" s="7" t="s">
        <v>160</v>
      </c>
    </row>
    <row r="73" spans="1:3" x14ac:dyDescent="0.35">
      <c r="A73" s="7" t="s">
        <v>151</v>
      </c>
      <c r="B73" s="10">
        <v>209</v>
      </c>
      <c r="C73" s="7" t="s">
        <v>160</v>
      </c>
    </row>
    <row r="74" spans="1:3" x14ac:dyDescent="0.35">
      <c r="A74" s="7" t="s">
        <v>57</v>
      </c>
      <c r="B74" s="10">
        <v>208</v>
      </c>
      <c r="C74" s="7" t="s">
        <v>160</v>
      </c>
    </row>
    <row r="75" spans="1:3" x14ac:dyDescent="0.35">
      <c r="A75" s="7" t="s">
        <v>114</v>
      </c>
      <c r="B75" s="10">
        <v>207</v>
      </c>
      <c r="C75" s="7" t="s">
        <v>160</v>
      </c>
    </row>
    <row r="76" spans="1:3" x14ac:dyDescent="0.35">
      <c r="A76" s="7" t="s">
        <v>133</v>
      </c>
      <c r="B76" s="10">
        <v>202</v>
      </c>
      <c r="C76" s="7" t="s">
        <v>161</v>
      </c>
    </row>
    <row r="77" spans="1:3" x14ac:dyDescent="0.35">
      <c r="A77" s="7" t="s">
        <v>120</v>
      </c>
      <c r="B77" s="10">
        <v>202</v>
      </c>
      <c r="C77" s="7" t="s">
        <v>161</v>
      </c>
    </row>
    <row r="78" spans="1:3" x14ac:dyDescent="0.35">
      <c r="A78" s="7" t="s">
        <v>90</v>
      </c>
      <c r="B78" s="10">
        <v>201</v>
      </c>
      <c r="C78" s="7" t="s">
        <v>161</v>
      </c>
    </row>
    <row r="79" spans="1:3" x14ac:dyDescent="0.35">
      <c r="A79" s="7" t="s">
        <v>145</v>
      </c>
      <c r="B79" s="10">
        <v>199</v>
      </c>
      <c r="C79" s="7" t="s">
        <v>161</v>
      </c>
    </row>
    <row r="80" spans="1:3" x14ac:dyDescent="0.35">
      <c r="A80" s="7" t="s">
        <v>118</v>
      </c>
      <c r="B80" s="10">
        <v>189</v>
      </c>
      <c r="C80" s="7" t="s">
        <v>161</v>
      </c>
    </row>
    <row r="81" spans="1:3" x14ac:dyDescent="0.35">
      <c r="A81" s="7" t="s">
        <v>76</v>
      </c>
      <c r="B81" s="10">
        <v>186</v>
      </c>
      <c r="C81" s="7" t="s">
        <v>161</v>
      </c>
    </row>
    <row r="82" spans="1:3" x14ac:dyDescent="0.35">
      <c r="A82" s="7" t="s">
        <v>80</v>
      </c>
      <c r="B82" s="10">
        <v>186</v>
      </c>
      <c r="C82" s="7" t="s">
        <v>161</v>
      </c>
    </row>
    <row r="83" spans="1:3" x14ac:dyDescent="0.35">
      <c r="A83" s="7" t="s">
        <v>136</v>
      </c>
      <c r="B83" s="10">
        <v>173</v>
      </c>
      <c r="C83" s="7" t="s">
        <v>161</v>
      </c>
    </row>
    <row r="84" spans="1:3" x14ac:dyDescent="0.35">
      <c r="A84" s="7" t="s">
        <v>81</v>
      </c>
      <c r="B84" s="10">
        <v>171</v>
      </c>
      <c r="C84" s="7" t="s">
        <v>161</v>
      </c>
    </row>
    <row r="85" spans="1:3" x14ac:dyDescent="0.35">
      <c r="A85" s="7" t="s">
        <v>78</v>
      </c>
      <c r="B85" s="10">
        <v>167</v>
      </c>
      <c r="C85" s="7" t="s">
        <v>161</v>
      </c>
    </row>
    <row r="86" spans="1:3" x14ac:dyDescent="0.35">
      <c r="A86" s="7" t="s">
        <v>63</v>
      </c>
      <c r="B86" s="10">
        <v>161</v>
      </c>
      <c r="C86" s="7" t="s">
        <v>161</v>
      </c>
    </row>
    <row r="87" spans="1:3" x14ac:dyDescent="0.35">
      <c r="A87" s="7" t="s">
        <v>69</v>
      </c>
      <c r="B87" s="10">
        <v>150</v>
      </c>
      <c r="C87" s="7" t="s">
        <v>161</v>
      </c>
    </row>
    <row r="88" spans="1:3" x14ac:dyDescent="0.35">
      <c r="A88" s="7" t="s">
        <v>130</v>
      </c>
      <c r="B88" s="10">
        <v>141</v>
      </c>
      <c r="C88" s="7" t="s">
        <v>161</v>
      </c>
    </row>
    <row r="89" spans="1:3" x14ac:dyDescent="0.35">
      <c r="A89" s="7" t="s">
        <v>88</v>
      </c>
      <c r="B89" s="10">
        <v>135</v>
      </c>
      <c r="C89" s="7" t="s">
        <v>161</v>
      </c>
    </row>
    <row r="90" spans="1:3" x14ac:dyDescent="0.35">
      <c r="A90" s="7" t="s">
        <v>115</v>
      </c>
      <c r="B90" s="10">
        <v>135</v>
      </c>
      <c r="C90" s="7" t="s">
        <v>161</v>
      </c>
    </row>
    <row r="91" spans="1:3" x14ac:dyDescent="0.35">
      <c r="A91" s="7" t="s">
        <v>137</v>
      </c>
      <c r="B91" s="10">
        <v>127</v>
      </c>
      <c r="C91" s="7" t="s">
        <v>161</v>
      </c>
    </row>
    <row r="92" spans="1:3" x14ac:dyDescent="0.35">
      <c r="A92" s="7" t="s">
        <v>129</v>
      </c>
      <c r="B92" s="10">
        <v>122</v>
      </c>
      <c r="C92" s="7" t="s">
        <v>161</v>
      </c>
    </row>
    <row r="93" spans="1:3" x14ac:dyDescent="0.35">
      <c r="A93" s="7" t="s">
        <v>127</v>
      </c>
      <c r="B93" s="10">
        <v>117</v>
      </c>
      <c r="C93" s="7" t="s">
        <v>161</v>
      </c>
    </row>
    <row r="94" spans="1:3" x14ac:dyDescent="0.35">
      <c r="A94" s="7" t="s">
        <v>150</v>
      </c>
      <c r="B94" s="10">
        <v>111</v>
      </c>
      <c r="C94" s="7" t="s">
        <v>161</v>
      </c>
    </row>
    <row r="95" spans="1:3" x14ac:dyDescent="0.35">
      <c r="A95" s="7" t="s">
        <v>134</v>
      </c>
      <c r="B95" s="10">
        <v>103</v>
      </c>
      <c r="C95" s="7" t="s">
        <v>161</v>
      </c>
    </row>
    <row r="96" spans="1:3" x14ac:dyDescent="0.35">
      <c r="A96" s="7" t="s">
        <v>64</v>
      </c>
      <c r="B96" s="10">
        <v>102</v>
      </c>
      <c r="C96" s="7" t="s">
        <v>161</v>
      </c>
    </row>
    <row r="97" spans="1:3" x14ac:dyDescent="0.35">
      <c r="A97" s="7" t="s">
        <v>128</v>
      </c>
      <c r="B97" s="10">
        <v>85</v>
      </c>
      <c r="C97" s="7" t="s">
        <v>161</v>
      </c>
    </row>
    <row r="98" spans="1:3" x14ac:dyDescent="0.35">
      <c r="A98" s="7" t="s">
        <v>99</v>
      </c>
      <c r="B98" s="10">
        <v>84</v>
      </c>
      <c r="C98" s="7" t="s">
        <v>161</v>
      </c>
    </row>
    <row r="99" spans="1:3" x14ac:dyDescent="0.35">
      <c r="A99" s="7" t="s">
        <v>95</v>
      </c>
      <c r="B99" s="10">
        <v>74</v>
      </c>
      <c r="C99" s="7" t="s">
        <v>161</v>
      </c>
    </row>
    <row r="100" spans="1:3" x14ac:dyDescent="0.35">
      <c r="A100" s="7" t="s">
        <v>84</v>
      </c>
      <c r="B100" s="10">
        <v>72</v>
      </c>
      <c r="C100" s="7" t="s">
        <v>161</v>
      </c>
    </row>
    <row r="101" spans="1:3" x14ac:dyDescent="0.35">
      <c r="A101" s="7" t="s">
        <v>105</v>
      </c>
      <c r="B101" s="10">
        <v>61</v>
      </c>
      <c r="C101" s="7" t="s">
        <v>161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showGridLines="0" showRowColHeaders="0" zoomScale="145" zoomScaleNormal="145" workbookViewId="0">
      <selection activeCell="I4" sqref="I4"/>
      <extLst>
        <ext xmlns:xlsdti="http://schemas.microsoft.com/office/spreadsheetml/2023/showDataTypeIcons" uri="{77bfe23e-c014-4d31-8a63-9c772dbf06b6}">
          <xlsdti:showDataTypeIcons visible="0"/>
        </ext>
      </extLst>
    </sheetView>
  </sheetViews>
  <sheetFormatPr baseColWidth="10" defaultColWidth="8.81640625" defaultRowHeight="14.5" x14ac:dyDescent="0.35"/>
  <cols>
    <col min="1" max="7" width="14" style="7" customWidth="1"/>
    <col min="8" max="16384" width="8.81640625" style="7"/>
  </cols>
  <sheetData>
    <row r="1" spans="1:9" x14ac:dyDescent="0.35">
      <c r="A1" s="6" t="s">
        <v>162</v>
      </c>
      <c r="B1" s="6" t="s">
        <v>17</v>
      </c>
      <c r="C1" s="6" t="s">
        <v>44</v>
      </c>
      <c r="D1" s="6" t="s">
        <v>45</v>
      </c>
      <c r="E1" s="6" t="s">
        <v>163</v>
      </c>
      <c r="F1" s="6" t="s">
        <v>46</v>
      </c>
      <c r="G1" s="6" t="s">
        <v>47</v>
      </c>
    </row>
    <row r="2" spans="1:9" x14ac:dyDescent="0.35">
      <c r="A2" s="7" t="s">
        <v>164</v>
      </c>
      <c r="B2" s="7" t="s">
        <v>48</v>
      </c>
      <c r="C2" s="7" t="s">
        <v>49</v>
      </c>
      <c r="D2" s="7" t="s">
        <v>50</v>
      </c>
      <c r="E2" s="7" t="s">
        <v>165</v>
      </c>
      <c r="F2" s="8">
        <v>0.21854305348131309</v>
      </c>
      <c r="G2" s="9">
        <v>2.055744691493345</v>
      </c>
    </row>
    <row r="3" spans="1:9" x14ac:dyDescent="0.35">
      <c r="A3" s="7" t="s">
        <v>166</v>
      </c>
      <c r="B3" s="7" t="s">
        <v>51</v>
      </c>
      <c r="C3" s="7" t="s">
        <v>52</v>
      </c>
      <c r="D3" s="7" t="s">
        <v>53</v>
      </c>
      <c r="E3" s="7" t="s">
        <v>167</v>
      </c>
      <c r="F3" s="8">
        <v>0.4778214378844623</v>
      </c>
      <c r="G3" s="9">
        <v>32.00231535755713</v>
      </c>
    </row>
    <row r="4" spans="1:9" x14ac:dyDescent="0.35">
      <c r="A4" s="7" t="s">
        <v>168</v>
      </c>
      <c r="B4" s="7" t="s">
        <v>54</v>
      </c>
      <c r="C4" s="7" t="s">
        <v>55</v>
      </c>
      <c r="D4" s="7" t="s">
        <v>56</v>
      </c>
      <c r="E4" s="7" t="s">
        <v>167</v>
      </c>
      <c r="F4" s="8">
        <v>0.37939727381513227</v>
      </c>
      <c r="G4" s="9">
        <v>16.06062106327817</v>
      </c>
      <c r="I4" s="7">
        <f>SUMIF(E2:E101,"*2. PISO*",F2:F101)</f>
        <v>4.2841488084382489</v>
      </c>
    </row>
    <row r="5" spans="1:9" x14ac:dyDescent="0.35">
      <c r="A5" s="7" t="s">
        <v>169</v>
      </c>
      <c r="B5" s="7" t="s">
        <v>57</v>
      </c>
      <c r="C5" s="7" t="s">
        <v>58</v>
      </c>
      <c r="D5" s="7" t="s">
        <v>59</v>
      </c>
      <c r="E5" s="7" t="s">
        <v>170</v>
      </c>
      <c r="F5" s="8">
        <v>0.31939631788866651</v>
      </c>
      <c r="G5" s="9">
        <v>25.674249212652789</v>
      </c>
      <c r="I5" s="7">
        <f>COUNTIF(E2:E101,"*2. PISO*")</f>
        <v>27</v>
      </c>
    </row>
    <row r="6" spans="1:9" x14ac:dyDescent="0.35">
      <c r="A6" s="7" t="s">
        <v>171</v>
      </c>
      <c r="B6" s="7" t="s">
        <v>60</v>
      </c>
      <c r="C6" s="7" t="s">
        <v>61</v>
      </c>
      <c r="D6" s="7" t="s">
        <v>62</v>
      </c>
      <c r="E6" s="7" t="s">
        <v>165</v>
      </c>
      <c r="F6" s="8">
        <v>0.12020838819909641</v>
      </c>
      <c r="G6" s="9">
        <v>45.424540459341607</v>
      </c>
    </row>
    <row r="7" spans="1:9" x14ac:dyDescent="0.35">
      <c r="A7" s="7" t="s">
        <v>172</v>
      </c>
      <c r="B7" s="7" t="s">
        <v>63</v>
      </c>
      <c r="C7" s="7" t="s">
        <v>49</v>
      </c>
      <c r="D7" s="7" t="s">
        <v>50</v>
      </c>
      <c r="E7" s="7" t="s">
        <v>165</v>
      </c>
      <c r="F7" s="8">
        <v>0.1201975341512912</v>
      </c>
      <c r="G7" s="9">
        <v>12.839965342869309</v>
      </c>
    </row>
    <row r="8" spans="1:9" x14ac:dyDescent="0.35">
      <c r="A8" s="7" t="s">
        <v>173</v>
      </c>
      <c r="B8" s="7" t="s">
        <v>64</v>
      </c>
      <c r="C8" s="7" t="s">
        <v>52</v>
      </c>
      <c r="D8" s="7" t="s">
        <v>53</v>
      </c>
      <c r="E8" s="7" t="s">
        <v>167</v>
      </c>
      <c r="F8" s="8">
        <v>7.6137625475689766E-2</v>
      </c>
      <c r="G8" s="9">
        <v>20.813954690263671</v>
      </c>
    </row>
    <row r="9" spans="1:9" x14ac:dyDescent="0.35">
      <c r="A9" s="7" t="s">
        <v>174</v>
      </c>
      <c r="B9" s="7" t="s">
        <v>65</v>
      </c>
      <c r="C9" s="7" t="s">
        <v>55</v>
      </c>
      <c r="D9" s="7" t="s">
        <v>56</v>
      </c>
      <c r="E9" s="7" t="s">
        <v>175</v>
      </c>
      <c r="F9" s="8">
        <v>0.43977926559872083</v>
      </c>
      <c r="G9" s="9">
        <v>37.899781357880912</v>
      </c>
    </row>
    <row r="10" spans="1:9" x14ac:dyDescent="0.35">
      <c r="A10" s="7" t="s">
        <v>176</v>
      </c>
      <c r="B10" s="7" t="s">
        <v>66</v>
      </c>
      <c r="C10" s="7" t="s">
        <v>58</v>
      </c>
      <c r="D10" s="7" t="s">
        <v>59</v>
      </c>
      <c r="E10" s="7" t="s">
        <v>177</v>
      </c>
      <c r="F10" s="8">
        <v>0.32050175528444402</v>
      </c>
      <c r="G10" s="9">
        <v>11.825509191835311</v>
      </c>
    </row>
    <row r="11" spans="1:9" x14ac:dyDescent="0.35">
      <c r="A11" s="7" t="s">
        <v>178</v>
      </c>
      <c r="B11" s="7" t="s">
        <v>67</v>
      </c>
      <c r="C11" s="7" t="s">
        <v>61</v>
      </c>
      <c r="D11" s="7" t="s">
        <v>62</v>
      </c>
      <c r="E11" s="7" t="s">
        <v>179</v>
      </c>
      <c r="F11" s="8">
        <v>0.36863266000822048</v>
      </c>
      <c r="G11" s="9">
        <v>4.3105055365252536</v>
      </c>
    </row>
    <row r="12" spans="1:9" x14ac:dyDescent="0.35">
      <c r="A12" s="7" t="s">
        <v>180</v>
      </c>
      <c r="B12" s="7" t="s">
        <v>68</v>
      </c>
      <c r="C12" s="7" t="s">
        <v>49</v>
      </c>
      <c r="D12" s="7" t="s">
        <v>50</v>
      </c>
      <c r="E12" s="7" t="s">
        <v>170</v>
      </c>
      <c r="F12" s="8">
        <v>5.9263022433111101E-2</v>
      </c>
      <c r="G12" s="9">
        <v>14.842696919231519</v>
      </c>
    </row>
    <row r="13" spans="1:9" x14ac:dyDescent="0.35">
      <c r="A13" s="7" t="s">
        <v>181</v>
      </c>
      <c r="B13" s="7" t="s">
        <v>69</v>
      </c>
      <c r="C13" s="7" t="s">
        <v>52</v>
      </c>
      <c r="D13" s="7" t="s">
        <v>53</v>
      </c>
      <c r="E13" s="7" t="s">
        <v>170</v>
      </c>
      <c r="F13" s="8">
        <v>0.48645943347289738</v>
      </c>
      <c r="G13" s="9">
        <v>8.4804537190732177</v>
      </c>
    </row>
    <row r="14" spans="1:9" x14ac:dyDescent="0.35">
      <c r="A14" s="7" t="s">
        <v>182</v>
      </c>
      <c r="B14" s="7" t="s">
        <v>70</v>
      </c>
      <c r="C14" s="7" t="s">
        <v>55</v>
      </c>
      <c r="D14" s="7" t="s">
        <v>56</v>
      </c>
      <c r="E14" s="7" t="s">
        <v>179</v>
      </c>
      <c r="F14" s="8">
        <v>0.42459918836018978</v>
      </c>
      <c r="G14" s="9">
        <v>46.520033790957363</v>
      </c>
    </row>
    <row r="15" spans="1:9" x14ac:dyDescent="0.35">
      <c r="A15" s="7" t="s">
        <v>183</v>
      </c>
      <c r="B15" s="7" t="s">
        <v>71</v>
      </c>
      <c r="C15" s="7" t="s">
        <v>58</v>
      </c>
      <c r="D15" s="7" t="s">
        <v>59</v>
      </c>
      <c r="E15" s="7" t="s">
        <v>165</v>
      </c>
      <c r="F15" s="8">
        <v>0.14555259980522431</v>
      </c>
      <c r="G15" s="9">
        <v>40.501958788438643</v>
      </c>
    </row>
    <row r="16" spans="1:9" x14ac:dyDescent="0.35">
      <c r="A16" s="7" t="s">
        <v>184</v>
      </c>
      <c r="B16" s="7" t="s">
        <v>72</v>
      </c>
      <c r="C16" s="7" t="s">
        <v>61</v>
      </c>
      <c r="D16" s="7" t="s">
        <v>62</v>
      </c>
      <c r="E16" s="7" t="s">
        <v>165</v>
      </c>
      <c r="F16" s="8">
        <v>0.13182123524319531</v>
      </c>
      <c r="G16" s="9">
        <v>31.853485947265959</v>
      </c>
    </row>
    <row r="17" spans="1:7" x14ac:dyDescent="0.35">
      <c r="A17" s="7" t="s">
        <v>185</v>
      </c>
      <c r="B17" s="7" t="s">
        <v>73</v>
      </c>
      <c r="C17" s="7" t="s">
        <v>49</v>
      </c>
      <c r="D17" s="7" t="s">
        <v>50</v>
      </c>
      <c r="E17" s="7" t="s">
        <v>165</v>
      </c>
      <c r="F17" s="8">
        <v>0.13253202943404521</v>
      </c>
      <c r="G17" s="9">
        <v>43.637299214292028</v>
      </c>
    </row>
    <row r="18" spans="1:7" x14ac:dyDescent="0.35">
      <c r="A18" s="7" t="s">
        <v>186</v>
      </c>
      <c r="B18" s="7" t="s">
        <v>74</v>
      </c>
      <c r="C18" s="7" t="s">
        <v>52</v>
      </c>
      <c r="D18" s="7" t="s">
        <v>53</v>
      </c>
      <c r="E18" s="7" t="s">
        <v>165</v>
      </c>
      <c r="F18" s="8">
        <v>0.186909009331792</v>
      </c>
      <c r="G18" s="9">
        <v>40.281767806506167</v>
      </c>
    </row>
    <row r="19" spans="1:7" x14ac:dyDescent="0.35">
      <c r="A19" s="7" t="s">
        <v>187</v>
      </c>
      <c r="B19" s="7" t="s">
        <v>75</v>
      </c>
      <c r="C19" s="7" t="s">
        <v>55</v>
      </c>
      <c r="D19" s="7" t="s">
        <v>56</v>
      </c>
      <c r="E19" s="7" t="s">
        <v>165</v>
      </c>
      <c r="F19" s="8">
        <v>0.28614039423450699</v>
      </c>
      <c r="G19" s="9">
        <v>9.7352179148587741</v>
      </c>
    </row>
    <row r="20" spans="1:7" x14ac:dyDescent="0.35">
      <c r="A20" s="7" t="s">
        <v>188</v>
      </c>
      <c r="B20" s="7" t="s">
        <v>76</v>
      </c>
      <c r="C20" s="7" t="s">
        <v>58</v>
      </c>
      <c r="D20" s="7" t="s">
        <v>59</v>
      </c>
      <c r="E20" s="7" t="s">
        <v>179</v>
      </c>
      <c r="F20" s="8">
        <v>0.2443752583889521</v>
      </c>
      <c r="G20" s="9">
        <v>44.681670425253898</v>
      </c>
    </row>
    <row r="21" spans="1:7" x14ac:dyDescent="0.35">
      <c r="A21" s="7" t="s">
        <v>189</v>
      </c>
      <c r="B21" s="7" t="s">
        <v>77</v>
      </c>
      <c r="C21" s="7" t="s">
        <v>61</v>
      </c>
      <c r="D21" s="7" t="s">
        <v>62</v>
      </c>
      <c r="E21" s="7" t="s">
        <v>165</v>
      </c>
      <c r="F21" s="8">
        <v>0.18105311308911889</v>
      </c>
      <c r="G21" s="9">
        <v>27.197440974824708</v>
      </c>
    </row>
    <row r="22" spans="1:7" x14ac:dyDescent="0.35">
      <c r="A22" s="7" t="s">
        <v>190</v>
      </c>
      <c r="B22" s="7" t="s">
        <v>78</v>
      </c>
      <c r="C22" s="7" t="s">
        <v>49</v>
      </c>
      <c r="D22" s="7" t="s">
        <v>50</v>
      </c>
      <c r="E22" s="7" t="s">
        <v>179</v>
      </c>
      <c r="F22" s="8">
        <v>0.32533380262507078</v>
      </c>
      <c r="G22" s="9">
        <v>40.468287680621103</v>
      </c>
    </row>
    <row r="23" spans="1:7" x14ac:dyDescent="0.35">
      <c r="A23" s="7" t="s">
        <v>191</v>
      </c>
      <c r="B23" s="7" t="s">
        <v>79</v>
      </c>
      <c r="C23" s="7" t="s">
        <v>52</v>
      </c>
      <c r="D23" s="7" t="s">
        <v>53</v>
      </c>
      <c r="E23" s="7" t="s">
        <v>192</v>
      </c>
      <c r="F23" s="8">
        <v>0.1127722372934188</v>
      </c>
      <c r="G23" s="9">
        <v>44.856519346212913</v>
      </c>
    </row>
    <row r="24" spans="1:7" x14ac:dyDescent="0.35">
      <c r="A24" s="7" t="s">
        <v>193</v>
      </c>
      <c r="B24" s="7" t="s">
        <v>80</v>
      </c>
      <c r="C24" s="7" t="s">
        <v>55</v>
      </c>
      <c r="D24" s="7" t="s">
        <v>56</v>
      </c>
      <c r="E24" s="7" t="s">
        <v>165</v>
      </c>
      <c r="F24" s="8">
        <v>0.18146509184084819</v>
      </c>
      <c r="G24" s="9">
        <v>16.24117201110726</v>
      </c>
    </row>
    <row r="25" spans="1:7" x14ac:dyDescent="0.35">
      <c r="A25" s="7" t="s">
        <v>194</v>
      </c>
      <c r="B25" s="7" t="s">
        <v>81</v>
      </c>
      <c r="C25" s="7" t="s">
        <v>58</v>
      </c>
      <c r="D25" s="7" t="s">
        <v>59</v>
      </c>
      <c r="E25" s="7" t="s">
        <v>177</v>
      </c>
      <c r="F25" s="8">
        <v>0.21486282948216129</v>
      </c>
      <c r="G25" s="9">
        <v>5.9475702641199986</v>
      </c>
    </row>
    <row r="26" spans="1:7" x14ac:dyDescent="0.35">
      <c r="A26" s="7" t="s">
        <v>195</v>
      </c>
      <c r="B26" s="7" t="s">
        <v>82</v>
      </c>
      <c r="C26" s="7" t="s">
        <v>61</v>
      </c>
      <c r="D26" s="7" t="s">
        <v>62</v>
      </c>
      <c r="E26" s="7" t="s">
        <v>179</v>
      </c>
      <c r="F26" s="8">
        <v>0.25523149289766622</v>
      </c>
      <c r="G26" s="9">
        <v>11.78279054582611</v>
      </c>
    </row>
    <row r="27" spans="1:7" x14ac:dyDescent="0.35">
      <c r="A27" s="7" t="s">
        <v>196</v>
      </c>
      <c r="B27" s="7" t="s">
        <v>83</v>
      </c>
      <c r="C27" s="7" t="s">
        <v>49</v>
      </c>
      <c r="D27" s="7" t="s">
        <v>50</v>
      </c>
      <c r="E27" s="7" t="s">
        <v>197</v>
      </c>
      <c r="F27" s="8">
        <v>0.40332918262685608</v>
      </c>
      <c r="G27" s="9">
        <v>21.64183553699969</v>
      </c>
    </row>
    <row r="28" spans="1:7" x14ac:dyDescent="0.35">
      <c r="A28" s="7" t="s">
        <v>198</v>
      </c>
      <c r="B28" s="7" t="s">
        <v>84</v>
      </c>
      <c r="C28" s="7" t="s">
        <v>52</v>
      </c>
      <c r="D28" s="7" t="s">
        <v>53</v>
      </c>
      <c r="E28" s="7" t="s">
        <v>192</v>
      </c>
      <c r="F28" s="8">
        <v>0.13985320197126189</v>
      </c>
      <c r="G28" s="9">
        <v>40.991730913163408</v>
      </c>
    </row>
    <row r="29" spans="1:7" x14ac:dyDescent="0.35">
      <c r="A29" s="7" t="s">
        <v>199</v>
      </c>
      <c r="B29" s="7" t="s">
        <v>85</v>
      </c>
      <c r="C29" s="7" t="s">
        <v>55</v>
      </c>
      <c r="D29" s="7" t="s">
        <v>56</v>
      </c>
      <c r="E29" s="7" t="s">
        <v>165</v>
      </c>
      <c r="F29" s="8">
        <v>0.28140549728612518</v>
      </c>
      <c r="G29" s="9">
        <v>43.106163871188997</v>
      </c>
    </row>
    <row r="30" spans="1:7" x14ac:dyDescent="0.35">
      <c r="A30" s="7" t="s">
        <v>200</v>
      </c>
      <c r="B30" s="7" t="s">
        <v>86</v>
      </c>
      <c r="C30" s="7" t="s">
        <v>58</v>
      </c>
      <c r="D30" s="7" t="s">
        <v>59</v>
      </c>
      <c r="E30" s="7" t="s">
        <v>177</v>
      </c>
      <c r="F30" s="8">
        <v>0.31658655598791913</v>
      </c>
      <c r="G30" s="9">
        <v>0.84413046129393976</v>
      </c>
    </row>
    <row r="31" spans="1:7" x14ac:dyDescent="0.35">
      <c r="A31" s="7" t="s">
        <v>201</v>
      </c>
      <c r="B31" s="7" t="s">
        <v>87</v>
      </c>
      <c r="C31" s="7" t="s">
        <v>61</v>
      </c>
      <c r="D31" s="7" t="s">
        <v>62</v>
      </c>
      <c r="E31" s="7" t="s">
        <v>165</v>
      </c>
      <c r="F31" s="8">
        <v>7.0902685723998979E-2</v>
      </c>
      <c r="G31" s="9">
        <v>25.7819914775895</v>
      </c>
    </row>
    <row r="32" spans="1:7" x14ac:dyDescent="0.35">
      <c r="A32" s="7" t="s">
        <v>202</v>
      </c>
      <c r="B32" s="7" t="s">
        <v>88</v>
      </c>
      <c r="C32" s="7" t="s">
        <v>49</v>
      </c>
      <c r="D32" s="7" t="s">
        <v>50</v>
      </c>
      <c r="E32" s="7" t="s">
        <v>175</v>
      </c>
      <c r="F32" s="8">
        <v>0.32339518335564732</v>
      </c>
      <c r="G32" s="9">
        <v>21.161844655864559</v>
      </c>
    </row>
    <row r="33" spans="1:7" x14ac:dyDescent="0.35">
      <c r="A33" s="7" t="s">
        <v>203</v>
      </c>
      <c r="B33" s="7" t="s">
        <v>89</v>
      </c>
      <c r="C33" s="7" t="s">
        <v>52</v>
      </c>
      <c r="D33" s="7" t="s">
        <v>53</v>
      </c>
      <c r="E33" s="7" t="s">
        <v>165</v>
      </c>
      <c r="F33" s="8">
        <v>0.12673585565928119</v>
      </c>
      <c r="G33" s="9">
        <v>11.494336618301149</v>
      </c>
    </row>
    <row r="34" spans="1:7" x14ac:dyDescent="0.35">
      <c r="A34" s="7" t="s">
        <v>204</v>
      </c>
      <c r="B34" s="7" t="s">
        <v>90</v>
      </c>
      <c r="C34" s="7" t="s">
        <v>55</v>
      </c>
      <c r="D34" s="7" t="s">
        <v>56</v>
      </c>
      <c r="E34" s="7" t="s">
        <v>165</v>
      </c>
      <c r="F34" s="8">
        <v>7.9273216843375793E-2</v>
      </c>
      <c r="G34" s="9">
        <v>6.4333356830172992</v>
      </c>
    </row>
    <row r="35" spans="1:7" x14ac:dyDescent="0.35">
      <c r="A35" s="7" t="s">
        <v>205</v>
      </c>
      <c r="B35" s="7" t="s">
        <v>91</v>
      </c>
      <c r="C35" s="7" t="s">
        <v>58</v>
      </c>
      <c r="D35" s="7" t="s">
        <v>59</v>
      </c>
      <c r="E35" s="7" t="s">
        <v>170</v>
      </c>
      <c r="F35" s="8">
        <v>0.47699849176399989</v>
      </c>
      <c r="G35" s="9">
        <v>17.211950984479579</v>
      </c>
    </row>
    <row r="36" spans="1:7" x14ac:dyDescent="0.35">
      <c r="A36" s="7" t="s">
        <v>206</v>
      </c>
      <c r="B36" s="7" t="s">
        <v>92</v>
      </c>
      <c r="C36" s="7" t="s">
        <v>61</v>
      </c>
      <c r="D36" s="7" t="s">
        <v>62</v>
      </c>
      <c r="E36" s="7" t="s">
        <v>179</v>
      </c>
      <c r="F36" s="8">
        <v>0.4845344148835517</v>
      </c>
      <c r="G36" s="9">
        <v>47.174030343669699</v>
      </c>
    </row>
    <row r="37" spans="1:7" x14ac:dyDescent="0.35">
      <c r="A37" s="7" t="s">
        <v>207</v>
      </c>
      <c r="B37" s="7" t="s">
        <v>93</v>
      </c>
      <c r="C37" s="7" t="s">
        <v>49</v>
      </c>
      <c r="D37" s="7" t="s">
        <v>50</v>
      </c>
      <c r="E37" s="7" t="s">
        <v>175</v>
      </c>
      <c r="F37" s="8">
        <v>0.41377880665240752</v>
      </c>
      <c r="G37" s="9">
        <v>16.498545135027381</v>
      </c>
    </row>
    <row r="38" spans="1:7" x14ac:dyDescent="0.35">
      <c r="A38" s="7" t="s">
        <v>208</v>
      </c>
      <c r="B38" s="7" t="s">
        <v>94</v>
      </c>
      <c r="C38" s="7" t="s">
        <v>52</v>
      </c>
      <c r="D38" s="7" t="s">
        <v>53</v>
      </c>
      <c r="E38" s="7" t="s">
        <v>170</v>
      </c>
      <c r="F38" s="8">
        <v>0.18707619612801679</v>
      </c>
      <c r="G38" s="9">
        <v>26.18013577629662</v>
      </c>
    </row>
    <row r="39" spans="1:7" x14ac:dyDescent="0.35">
      <c r="A39" s="7" t="s">
        <v>209</v>
      </c>
      <c r="B39" s="7" t="s">
        <v>95</v>
      </c>
      <c r="C39" s="7" t="s">
        <v>55</v>
      </c>
      <c r="D39" s="7" t="s">
        <v>56</v>
      </c>
      <c r="E39" s="7" t="s">
        <v>197</v>
      </c>
      <c r="F39" s="8">
        <v>9.3952451302872747E-2</v>
      </c>
      <c r="G39" s="9">
        <v>35.299438465311297</v>
      </c>
    </row>
    <row r="40" spans="1:7" x14ac:dyDescent="0.35">
      <c r="A40" s="7" t="s">
        <v>210</v>
      </c>
      <c r="B40" s="7" t="s">
        <v>96</v>
      </c>
      <c r="C40" s="7" t="s">
        <v>58</v>
      </c>
      <c r="D40" s="7" t="s">
        <v>59</v>
      </c>
      <c r="E40" s="7" t="s">
        <v>179</v>
      </c>
      <c r="F40" s="8">
        <v>0.35790486193047061</v>
      </c>
      <c r="G40" s="9">
        <v>18.499665317775051</v>
      </c>
    </row>
    <row r="41" spans="1:7" x14ac:dyDescent="0.35">
      <c r="A41" s="7" t="s">
        <v>211</v>
      </c>
      <c r="B41" s="7" t="s">
        <v>97</v>
      </c>
      <c r="C41" s="7" t="s">
        <v>61</v>
      </c>
      <c r="D41" s="7" t="s">
        <v>62</v>
      </c>
      <c r="E41" s="7" t="s">
        <v>165</v>
      </c>
      <c r="F41" s="8">
        <v>0.24806862218282061</v>
      </c>
      <c r="G41" s="9">
        <v>48.603213094687547</v>
      </c>
    </row>
    <row r="42" spans="1:7" x14ac:dyDescent="0.35">
      <c r="A42" s="7" t="s">
        <v>212</v>
      </c>
      <c r="B42" s="7" t="s">
        <v>98</v>
      </c>
      <c r="C42" s="7" t="s">
        <v>49</v>
      </c>
      <c r="D42" s="7" t="s">
        <v>50</v>
      </c>
      <c r="E42" s="7" t="s">
        <v>165</v>
      </c>
      <c r="F42" s="8">
        <v>0.1049172056801505</v>
      </c>
      <c r="G42" s="9">
        <v>48.141141099634503</v>
      </c>
    </row>
    <row r="43" spans="1:7" x14ac:dyDescent="0.35">
      <c r="A43" s="7" t="s">
        <v>213</v>
      </c>
      <c r="B43" s="7" t="s">
        <v>99</v>
      </c>
      <c r="C43" s="7" t="s">
        <v>52</v>
      </c>
      <c r="D43" s="7" t="s">
        <v>53</v>
      </c>
      <c r="E43" s="7" t="s">
        <v>165</v>
      </c>
      <c r="F43" s="8">
        <v>0.27282960955007157</v>
      </c>
      <c r="G43" s="9">
        <v>12.96322364335553</v>
      </c>
    </row>
    <row r="44" spans="1:7" x14ac:dyDescent="0.35">
      <c r="A44" s="7" t="s">
        <v>214</v>
      </c>
      <c r="B44" s="7" t="s">
        <v>100</v>
      </c>
      <c r="C44" s="7" t="s">
        <v>55</v>
      </c>
      <c r="D44" s="7" t="s">
        <v>56</v>
      </c>
      <c r="E44" s="7" t="s">
        <v>170</v>
      </c>
      <c r="F44" s="8">
        <v>6.5474834501848281E-2</v>
      </c>
      <c r="G44" s="9">
        <v>25.113801041673081</v>
      </c>
    </row>
    <row r="45" spans="1:7" x14ac:dyDescent="0.35">
      <c r="A45" s="7" t="s">
        <v>215</v>
      </c>
      <c r="B45" s="7" t="s">
        <v>101</v>
      </c>
      <c r="C45" s="7" t="s">
        <v>58</v>
      </c>
      <c r="D45" s="7" t="s">
        <v>59</v>
      </c>
      <c r="E45" s="7" t="s">
        <v>179</v>
      </c>
      <c r="F45" s="8">
        <v>0.45919418093545189</v>
      </c>
      <c r="G45" s="9">
        <v>15.393476335930099</v>
      </c>
    </row>
    <row r="46" spans="1:7" x14ac:dyDescent="0.35">
      <c r="A46" s="7" t="s">
        <v>216</v>
      </c>
      <c r="B46" s="7" t="s">
        <v>102</v>
      </c>
      <c r="C46" s="7" t="s">
        <v>61</v>
      </c>
      <c r="D46" s="7" t="s">
        <v>62</v>
      </c>
      <c r="E46" s="7" t="s">
        <v>192</v>
      </c>
      <c r="F46" s="8">
        <v>0.1664509917200076</v>
      </c>
      <c r="G46" s="9">
        <v>14.59960447168465</v>
      </c>
    </row>
    <row r="47" spans="1:7" x14ac:dyDescent="0.35">
      <c r="A47" s="7" t="s">
        <v>217</v>
      </c>
      <c r="B47" s="7" t="s">
        <v>103</v>
      </c>
      <c r="C47" s="7" t="s">
        <v>49</v>
      </c>
      <c r="D47" s="7" t="s">
        <v>50</v>
      </c>
      <c r="E47" s="7" t="s">
        <v>170</v>
      </c>
      <c r="F47" s="8">
        <v>0.34813502795929191</v>
      </c>
      <c r="G47" s="9">
        <v>2.325903894049373</v>
      </c>
    </row>
    <row r="48" spans="1:7" x14ac:dyDescent="0.35">
      <c r="A48" s="7" t="s">
        <v>218</v>
      </c>
      <c r="B48" s="7" t="s">
        <v>104</v>
      </c>
      <c r="C48" s="7" t="s">
        <v>52</v>
      </c>
      <c r="D48" s="7" t="s">
        <v>53</v>
      </c>
      <c r="E48" s="7" t="s">
        <v>192</v>
      </c>
      <c r="F48" s="8">
        <v>0.19026998424023489</v>
      </c>
      <c r="G48" s="9">
        <v>30.67343453200489</v>
      </c>
    </row>
    <row r="49" spans="1:7" x14ac:dyDescent="0.35">
      <c r="A49" s="7" t="s">
        <v>219</v>
      </c>
      <c r="B49" s="7" t="s">
        <v>105</v>
      </c>
      <c r="C49" s="7" t="s">
        <v>55</v>
      </c>
      <c r="D49" s="7" t="s">
        <v>56</v>
      </c>
      <c r="E49" s="7" t="s">
        <v>165</v>
      </c>
      <c r="F49" s="8">
        <v>0.28403060953001491</v>
      </c>
      <c r="G49" s="9">
        <v>25.38261164982864</v>
      </c>
    </row>
    <row r="50" spans="1:7" x14ac:dyDescent="0.35">
      <c r="A50" s="7" t="s">
        <v>220</v>
      </c>
      <c r="B50" s="7" t="s">
        <v>106</v>
      </c>
      <c r="C50" s="7" t="s">
        <v>58</v>
      </c>
      <c r="D50" s="7" t="s">
        <v>59</v>
      </c>
      <c r="E50" s="7" t="s">
        <v>167</v>
      </c>
      <c r="F50" s="8">
        <v>0.29601962570447587</v>
      </c>
      <c r="G50" s="9">
        <v>3.048198186874473</v>
      </c>
    </row>
    <row r="51" spans="1:7" x14ac:dyDescent="0.35">
      <c r="A51" s="7" t="s">
        <v>221</v>
      </c>
      <c r="B51" s="7" t="s">
        <v>107</v>
      </c>
      <c r="C51" s="7" t="s">
        <v>61</v>
      </c>
      <c r="D51" s="7" t="s">
        <v>62</v>
      </c>
      <c r="E51" s="7" t="s">
        <v>165</v>
      </c>
      <c r="F51" s="8">
        <v>0.13318450498648721</v>
      </c>
      <c r="G51" s="9">
        <v>14.29299997971227</v>
      </c>
    </row>
    <row r="52" spans="1:7" x14ac:dyDescent="0.35">
      <c r="A52" s="7" t="s">
        <v>222</v>
      </c>
      <c r="B52" s="7" t="s">
        <v>108</v>
      </c>
      <c r="C52" s="7" t="s">
        <v>49</v>
      </c>
      <c r="D52" s="7" t="s">
        <v>50</v>
      </c>
      <c r="E52" s="7" t="s">
        <v>177</v>
      </c>
      <c r="F52" s="8">
        <v>0.48631308249405142</v>
      </c>
      <c r="G52" s="9">
        <v>45.459161355349359</v>
      </c>
    </row>
    <row r="53" spans="1:7" x14ac:dyDescent="0.35">
      <c r="A53" s="7" t="s">
        <v>223</v>
      </c>
      <c r="B53" s="7" t="s">
        <v>109</v>
      </c>
      <c r="C53" s="7" t="s">
        <v>52</v>
      </c>
      <c r="D53" s="7" t="s">
        <v>53</v>
      </c>
      <c r="E53" s="7" t="s">
        <v>179</v>
      </c>
      <c r="F53" s="8">
        <v>0.39880977051250149</v>
      </c>
      <c r="G53" s="9">
        <v>12.358313588015131</v>
      </c>
    </row>
    <row r="54" spans="1:7" x14ac:dyDescent="0.35">
      <c r="A54" s="7" t="s">
        <v>224</v>
      </c>
      <c r="B54" s="7" t="s">
        <v>110</v>
      </c>
      <c r="C54" s="7" t="s">
        <v>55</v>
      </c>
      <c r="D54" s="7" t="s">
        <v>56</v>
      </c>
      <c r="E54" s="7" t="s">
        <v>197</v>
      </c>
      <c r="F54" s="8">
        <v>0.47277452370388512</v>
      </c>
      <c r="G54" s="9">
        <v>7.6722961685155431</v>
      </c>
    </row>
    <row r="55" spans="1:7" x14ac:dyDescent="0.35">
      <c r="A55" s="7" t="s">
        <v>225</v>
      </c>
      <c r="B55" s="7" t="s">
        <v>111</v>
      </c>
      <c r="C55" s="7" t="s">
        <v>58</v>
      </c>
      <c r="D55" s="7" t="s">
        <v>59</v>
      </c>
      <c r="E55" s="7" t="s">
        <v>179</v>
      </c>
      <c r="F55" s="8">
        <v>0.45267230769244199</v>
      </c>
      <c r="G55" s="9">
        <v>24.727911633739371</v>
      </c>
    </row>
    <row r="56" spans="1:7" x14ac:dyDescent="0.35">
      <c r="A56" s="7" t="s">
        <v>226</v>
      </c>
      <c r="B56" s="7" t="s">
        <v>112</v>
      </c>
      <c r="C56" s="7" t="s">
        <v>61</v>
      </c>
      <c r="D56" s="7" t="s">
        <v>62</v>
      </c>
      <c r="E56" s="7" t="s">
        <v>179</v>
      </c>
      <c r="F56" s="8">
        <v>0.31905499046498831</v>
      </c>
      <c r="G56" s="9">
        <v>49.289697478474743</v>
      </c>
    </row>
    <row r="57" spans="1:7" x14ac:dyDescent="0.35">
      <c r="A57" s="7" t="s">
        <v>227</v>
      </c>
      <c r="B57" s="7" t="s">
        <v>113</v>
      </c>
      <c r="C57" s="7" t="s">
        <v>49</v>
      </c>
      <c r="D57" s="7" t="s">
        <v>50</v>
      </c>
      <c r="E57" s="7" t="s">
        <v>177</v>
      </c>
      <c r="F57" s="8">
        <v>0.46484340576040262</v>
      </c>
      <c r="G57" s="9">
        <v>12.48173593981927</v>
      </c>
    </row>
    <row r="58" spans="1:7" x14ac:dyDescent="0.35">
      <c r="A58" s="7" t="s">
        <v>228</v>
      </c>
      <c r="B58" s="7" t="s">
        <v>114</v>
      </c>
      <c r="C58" s="7" t="s">
        <v>52</v>
      </c>
      <c r="D58" s="7" t="s">
        <v>53</v>
      </c>
      <c r="E58" s="7" t="s">
        <v>197</v>
      </c>
      <c r="F58" s="8">
        <v>8.9821625923363776E-2</v>
      </c>
      <c r="G58" s="9">
        <v>33.77070959659099</v>
      </c>
    </row>
    <row r="59" spans="1:7" x14ac:dyDescent="0.35">
      <c r="A59" s="7" t="s">
        <v>229</v>
      </c>
      <c r="B59" s="7" t="s">
        <v>115</v>
      </c>
      <c r="C59" s="7" t="s">
        <v>55</v>
      </c>
      <c r="D59" s="7" t="s">
        <v>56</v>
      </c>
      <c r="E59" s="7" t="s">
        <v>192</v>
      </c>
      <c r="F59" s="8">
        <v>0.13819228808861531</v>
      </c>
      <c r="G59" s="9">
        <v>38.200170958771523</v>
      </c>
    </row>
    <row r="60" spans="1:7" x14ac:dyDescent="0.35">
      <c r="A60" s="7" t="s">
        <v>230</v>
      </c>
      <c r="B60" s="7" t="s">
        <v>116</v>
      </c>
      <c r="C60" s="7" t="s">
        <v>58</v>
      </c>
      <c r="D60" s="7" t="s">
        <v>59</v>
      </c>
      <c r="E60" s="7" t="s">
        <v>165</v>
      </c>
      <c r="F60" s="8">
        <v>7.0352280009742141E-2</v>
      </c>
      <c r="G60" s="9">
        <v>12.263058427623781</v>
      </c>
    </row>
    <row r="61" spans="1:7" x14ac:dyDescent="0.35">
      <c r="A61" s="7" t="s">
        <v>231</v>
      </c>
      <c r="B61" s="7" t="s">
        <v>117</v>
      </c>
      <c r="C61" s="7" t="s">
        <v>61</v>
      </c>
      <c r="D61" s="7" t="s">
        <v>62</v>
      </c>
      <c r="E61" s="7" t="s">
        <v>165</v>
      </c>
      <c r="F61" s="8">
        <v>0.196398648843469</v>
      </c>
      <c r="G61" s="9">
        <v>36.546709256287052</v>
      </c>
    </row>
    <row r="62" spans="1:7" x14ac:dyDescent="0.35">
      <c r="A62" s="7" t="s">
        <v>232</v>
      </c>
      <c r="B62" s="7" t="s">
        <v>118</v>
      </c>
      <c r="C62" s="7" t="s">
        <v>49</v>
      </c>
      <c r="D62" s="7" t="s">
        <v>50</v>
      </c>
      <c r="E62" s="7" t="s">
        <v>165</v>
      </c>
      <c r="F62" s="8">
        <v>0.2249047803602669</v>
      </c>
      <c r="G62" s="9">
        <v>18.70526506960303</v>
      </c>
    </row>
    <row r="63" spans="1:7" x14ac:dyDescent="0.35">
      <c r="A63" s="7" t="s">
        <v>233</v>
      </c>
      <c r="B63" s="7" t="s">
        <v>119</v>
      </c>
      <c r="C63" s="7" t="s">
        <v>52</v>
      </c>
      <c r="D63" s="7" t="s">
        <v>53</v>
      </c>
      <c r="E63" s="7" t="s">
        <v>165</v>
      </c>
      <c r="F63" s="8">
        <v>0.1721070642982532</v>
      </c>
      <c r="G63" s="9">
        <v>31.79913861438218</v>
      </c>
    </row>
    <row r="64" spans="1:7" x14ac:dyDescent="0.35">
      <c r="A64" s="7" t="s">
        <v>234</v>
      </c>
      <c r="B64" s="7" t="s">
        <v>120</v>
      </c>
      <c r="C64" s="7" t="s">
        <v>55</v>
      </c>
      <c r="D64" s="7" t="s">
        <v>56</v>
      </c>
      <c r="E64" s="7" t="s">
        <v>197</v>
      </c>
      <c r="F64" s="8">
        <v>0.42293187911836821</v>
      </c>
      <c r="G64" s="9">
        <v>31.859720682664289</v>
      </c>
    </row>
    <row r="65" spans="1:7" x14ac:dyDescent="0.35">
      <c r="A65" s="7" t="s">
        <v>235</v>
      </c>
      <c r="B65" s="7" t="s">
        <v>121</v>
      </c>
      <c r="C65" s="7" t="s">
        <v>58</v>
      </c>
      <c r="D65" s="7" t="s">
        <v>59</v>
      </c>
      <c r="E65" s="7" t="s">
        <v>197</v>
      </c>
      <c r="F65" s="8">
        <v>0.2105389970121152</v>
      </c>
      <c r="G65" s="9">
        <v>27.020846861700541</v>
      </c>
    </row>
    <row r="66" spans="1:7" x14ac:dyDescent="0.35">
      <c r="A66" s="7" t="s">
        <v>236</v>
      </c>
      <c r="B66" s="7" t="s">
        <v>122</v>
      </c>
      <c r="C66" s="7" t="s">
        <v>61</v>
      </c>
      <c r="D66" s="7" t="s">
        <v>62</v>
      </c>
      <c r="E66" s="7" t="s">
        <v>167</v>
      </c>
      <c r="F66" s="8">
        <v>0.17642052935932129</v>
      </c>
      <c r="G66" s="9">
        <v>4.9693436176932106</v>
      </c>
    </row>
    <row r="67" spans="1:7" x14ac:dyDescent="0.35">
      <c r="A67" s="7" t="s">
        <v>237</v>
      </c>
      <c r="B67" s="7" t="s">
        <v>123</v>
      </c>
      <c r="C67" s="7" t="s">
        <v>49</v>
      </c>
      <c r="D67" s="7" t="s">
        <v>50</v>
      </c>
      <c r="E67" s="7" t="s">
        <v>179</v>
      </c>
      <c r="F67" s="8">
        <v>0.2942132374212118</v>
      </c>
      <c r="G67" s="9">
        <v>41.847473531667283</v>
      </c>
    </row>
    <row r="68" spans="1:7" x14ac:dyDescent="0.35">
      <c r="A68" s="7" t="s">
        <v>238</v>
      </c>
      <c r="B68" s="7" t="s">
        <v>124</v>
      </c>
      <c r="C68" s="7" t="s">
        <v>52</v>
      </c>
      <c r="D68" s="7" t="s">
        <v>53</v>
      </c>
      <c r="E68" s="7" t="s">
        <v>167</v>
      </c>
      <c r="F68" s="8">
        <v>0.1134159012386432</v>
      </c>
      <c r="G68" s="9">
        <v>16.37861321610092</v>
      </c>
    </row>
    <row r="69" spans="1:7" x14ac:dyDescent="0.35">
      <c r="A69" s="7" t="s">
        <v>239</v>
      </c>
      <c r="B69" s="7" t="s">
        <v>125</v>
      </c>
      <c r="C69" s="7" t="s">
        <v>55</v>
      </c>
      <c r="D69" s="7" t="s">
        <v>56</v>
      </c>
      <c r="E69" s="7" t="s">
        <v>170</v>
      </c>
      <c r="F69" s="8">
        <v>0.41098864133931778</v>
      </c>
      <c r="G69" s="9">
        <v>9.7326662647927851</v>
      </c>
    </row>
    <row r="70" spans="1:7" x14ac:dyDescent="0.35">
      <c r="A70" s="7" t="s">
        <v>240</v>
      </c>
      <c r="B70" s="7" t="s">
        <v>126</v>
      </c>
      <c r="C70" s="7" t="s">
        <v>58</v>
      </c>
      <c r="D70" s="7" t="s">
        <v>59</v>
      </c>
      <c r="E70" s="7" t="s">
        <v>192</v>
      </c>
      <c r="F70" s="8">
        <v>8.3547789655896876E-2</v>
      </c>
      <c r="G70" s="9">
        <v>2.5183695069608141</v>
      </c>
    </row>
    <row r="71" spans="1:7" x14ac:dyDescent="0.35">
      <c r="A71" s="7" t="s">
        <v>241</v>
      </c>
      <c r="B71" s="7" t="s">
        <v>127</v>
      </c>
      <c r="C71" s="7" t="s">
        <v>61</v>
      </c>
      <c r="D71" s="7" t="s">
        <v>62</v>
      </c>
      <c r="E71" s="7" t="s">
        <v>177</v>
      </c>
      <c r="F71" s="8">
        <v>0.49409912147023283</v>
      </c>
      <c r="G71" s="9">
        <v>29.749200687817972</v>
      </c>
    </row>
    <row r="72" spans="1:7" x14ac:dyDescent="0.35">
      <c r="A72" s="7" t="s">
        <v>242</v>
      </c>
      <c r="B72" s="7" t="s">
        <v>128</v>
      </c>
      <c r="C72" s="7" t="s">
        <v>49</v>
      </c>
      <c r="D72" s="7" t="s">
        <v>50</v>
      </c>
      <c r="E72" s="7" t="s">
        <v>177</v>
      </c>
      <c r="F72" s="8">
        <v>0.39751014618349578</v>
      </c>
      <c r="G72" s="9">
        <v>34.039435911192982</v>
      </c>
    </row>
    <row r="73" spans="1:7" x14ac:dyDescent="0.35">
      <c r="A73" s="7" t="s">
        <v>243</v>
      </c>
      <c r="B73" s="7" t="s">
        <v>129</v>
      </c>
      <c r="C73" s="7" t="s">
        <v>52</v>
      </c>
      <c r="D73" s="7" t="s">
        <v>53</v>
      </c>
      <c r="E73" s="7" t="s">
        <v>167</v>
      </c>
      <c r="F73" s="8">
        <v>0.1394220566903776</v>
      </c>
      <c r="G73" s="9">
        <v>1.32109753192888</v>
      </c>
    </row>
    <row r="74" spans="1:7" x14ac:dyDescent="0.35">
      <c r="A74" s="7" t="s">
        <v>244</v>
      </c>
      <c r="B74" s="7" t="s">
        <v>130</v>
      </c>
      <c r="C74" s="7" t="s">
        <v>55</v>
      </c>
      <c r="D74" s="7" t="s">
        <v>56</v>
      </c>
      <c r="E74" s="7" t="s">
        <v>165</v>
      </c>
      <c r="F74" s="8">
        <v>5.2484952705621077E-2</v>
      </c>
      <c r="G74" s="9">
        <v>25.84860638581441</v>
      </c>
    </row>
    <row r="75" spans="1:7" x14ac:dyDescent="0.35">
      <c r="A75" s="7" t="s">
        <v>245</v>
      </c>
      <c r="B75" s="7" t="s">
        <v>131</v>
      </c>
      <c r="C75" s="7" t="s">
        <v>58</v>
      </c>
      <c r="D75" s="7" t="s">
        <v>59</v>
      </c>
      <c r="E75" s="7" t="s">
        <v>167</v>
      </c>
      <c r="F75" s="8">
        <v>0.41695764280467529</v>
      </c>
      <c r="G75" s="9">
        <v>11.711540872297929</v>
      </c>
    </row>
    <row r="76" spans="1:7" x14ac:dyDescent="0.35">
      <c r="A76" s="7" t="s">
        <v>246</v>
      </c>
      <c r="B76" s="7" t="s">
        <v>132</v>
      </c>
      <c r="C76" s="7" t="s">
        <v>61</v>
      </c>
      <c r="D76" s="7" t="s">
        <v>62</v>
      </c>
      <c r="E76" s="7" t="s">
        <v>170</v>
      </c>
      <c r="F76" s="8">
        <v>0.36808580473142771</v>
      </c>
      <c r="G76" s="9">
        <v>32.436053125267769</v>
      </c>
    </row>
    <row r="77" spans="1:7" x14ac:dyDescent="0.35">
      <c r="A77" s="7" t="s">
        <v>247</v>
      </c>
      <c r="B77" s="7" t="s">
        <v>133</v>
      </c>
      <c r="C77" s="7" t="s">
        <v>49</v>
      </c>
      <c r="D77" s="7" t="s">
        <v>50</v>
      </c>
      <c r="E77" s="7" t="s">
        <v>175</v>
      </c>
      <c r="F77" s="8">
        <v>0.37805322561844429</v>
      </c>
      <c r="G77" s="9">
        <v>9.1311382357470769</v>
      </c>
    </row>
    <row r="78" spans="1:7" x14ac:dyDescent="0.35">
      <c r="A78" s="7" t="s">
        <v>248</v>
      </c>
      <c r="B78" s="7" t="s">
        <v>134</v>
      </c>
      <c r="C78" s="7" t="s">
        <v>52</v>
      </c>
      <c r="D78" s="7" t="s">
        <v>53</v>
      </c>
      <c r="E78" s="7" t="s">
        <v>177</v>
      </c>
      <c r="F78" s="8">
        <v>0.39707165600867561</v>
      </c>
      <c r="G78" s="9">
        <v>34.701418036072063</v>
      </c>
    </row>
    <row r="79" spans="1:7" x14ac:dyDescent="0.35">
      <c r="A79" s="7" t="s">
        <v>249</v>
      </c>
      <c r="B79" s="7" t="s">
        <v>135</v>
      </c>
      <c r="C79" s="7" t="s">
        <v>55</v>
      </c>
      <c r="D79" s="7" t="s">
        <v>56</v>
      </c>
      <c r="E79" s="7" t="s">
        <v>167</v>
      </c>
      <c r="F79" s="8">
        <v>8.3320093280340665E-2</v>
      </c>
      <c r="G79" s="9">
        <v>19.643399641876599</v>
      </c>
    </row>
    <row r="80" spans="1:7" x14ac:dyDescent="0.35">
      <c r="A80" s="7" t="s">
        <v>250</v>
      </c>
      <c r="B80" s="7" t="s">
        <v>136</v>
      </c>
      <c r="C80" s="7" t="s">
        <v>58</v>
      </c>
      <c r="D80" s="7" t="s">
        <v>59</v>
      </c>
      <c r="E80" s="7" t="s">
        <v>177</v>
      </c>
      <c r="F80" s="8">
        <v>0.21130957784492271</v>
      </c>
      <c r="G80" s="9">
        <v>46.86813444246836</v>
      </c>
    </row>
    <row r="81" spans="1:7" x14ac:dyDescent="0.35">
      <c r="A81" s="7" t="s">
        <v>251</v>
      </c>
      <c r="B81" s="7" t="s">
        <v>137</v>
      </c>
      <c r="C81" s="7" t="s">
        <v>61</v>
      </c>
      <c r="D81" s="7" t="s">
        <v>62</v>
      </c>
      <c r="E81" s="7" t="s">
        <v>165</v>
      </c>
      <c r="F81" s="8">
        <v>0.1021410767863084</v>
      </c>
      <c r="G81" s="9">
        <v>7.3072867352266657</v>
      </c>
    </row>
    <row r="82" spans="1:7" x14ac:dyDescent="0.35">
      <c r="A82" s="7" t="s">
        <v>252</v>
      </c>
      <c r="B82" s="7" t="s">
        <v>138</v>
      </c>
      <c r="C82" s="7" t="s">
        <v>49</v>
      </c>
      <c r="D82" s="7" t="s">
        <v>50</v>
      </c>
      <c r="E82" s="7" t="s">
        <v>175</v>
      </c>
      <c r="F82" s="8">
        <v>0.43839654164401709</v>
      </c>
      <c r="G82" s="9">
        <v>17.3827843769878</v>
      </c>
    </row>
    <row r="83" spans="1:7" x14ac:dyDescent="0.35">
      <c r="A83" s="7" t="s">
        <v>253</v>
      </c>
      <c r="B83" s="7" t="s">
        <v>139</v>
      </c>
      <c r="C83" s="7" t="s">
        <v>52</v>
      </c>
      <c r="D83" s="7" t="s">
        <v>53</v>
      </c>
      <c r="E83" s="7" t="s">
        <v>177</v>
      </c>
      <c r="F83" s="8">
        <v>0.33048415707240109</v>
      </c>
      <c r="G83" s="9">
        <v>6.1169393014091593</v>
      </c>
    </row>
    <row r="84" spans="1:7" x14ac:dyDescent="0.35">
      <c r="A84" s="7" t="s">
        <v>254</v>
      </c>
      <c r="B84" s="7" t="s">
        <v>140</v>
      </c>
      <c r="C84" s="7" t="s">
        <v>55</v>
      </c>
      <c r="D84" s="7" t="s">
        <v>56</v>
      </c>
      <c r="E84" s="7" t="s">
        <v>167</v>
      </c>
      <c r="F84" s="8">
        <v>0.19890411118369219</v>
      </c>
      <c r="G84" s="9">
        <v>46.272334104788861</v>
      </c>
    </row>
    <row r="85" spans="1:7" x14ac:dyDescent="0.35">
      <c r="A85" s="7" t="s">
        <v>255</v>
      </c>
      <c r="B85" s="7" t="s">
        <v>141</v>
      </c>
      <c r="C85" s="7" t="s">
        <v>58</v>
      </c>
      <c r="D85" s="7" t="s">
        <v>59</v>
      </c>
      <c r="E85" s="7" t="s">
        <v>170</v>
      </c>
      <c r="F85" s="8">
        <v>7.8601257628710647E-2</v>
      </c>
      <c r="G85" s="9">
        <v>43.928297992358559</v>
      </c>
    </row>
    <row r="86" spans="1:7" x14ac:dyDescent="0.35">
      <c r="A86" s="7" t="s">
        <v>256</v>
      </c>
      <c r="B86" s="7" t="s">
        <v>142</v>
      </c>
      <c r="C86" s="7" t="s">
        <v>61</v>
      </c>
      <c r="D86" s="7" t="s">
        <v>62</v>
      </c>
      <c r="E86" s="7" t="s">
        <v>192</v>
      </c>
      <c r="F86" s="8">
        <v>0.18994204477204801</v>
      </c>
      <c r="G86" s="9">
        <v>13.2681105719002</v>
      </c>
    </row>
    <row r="87" spans="1:7" x14ac:dyDescent="0.35">
      <c r="A87" s="7" t="s">
        <v>257</v>
      </c>
      <c r="B87" s="7" t="s">
        <v>143</v>
      </c>
      <c r="C87" s="7" t="s">
        <v>49</v>
      </c>
      <c r="D87" s="7" t="s">
        <v>50</v>
      </c>
      <c r="E87" s="7" t="s">
        <v>167</v>
      </c>
      <c r="F87" s="8">
        <v>0.19633249491203619</v>
      </c>
      <c r="G87" s="9">
        <v>33.169210278691857</v>
      </c>
    </row>
    <row r="88" spans="1:7" x14ac:dyDescent="0.35">
      <c r="A88" s="7" t="s">
        <v>258</v>
      </c>
      <c r="B88" s="7" t="s">
        <v>144</v>
      </c>
      <c r="C88" s="7" t="s">
        <v>52</v>
      </c>
      <c r="D88" s="7" t="s">
        <v>53</v>
      </c>
      <c r="E88" s="7" t="s">
        <v>177</v>
      </c>
      <c r="F88" s="8">
        <v>0.37832278025212879</v>
      </c>
      <c r="G88" s="9">
        <v>40.952498909960177</v>
      </c>
    </row>
    <row r="89" spans="1:7" x14ac:dyDescent="0.35">
      <c r="A89" s="7" t="s">
        <v>259</v>
      </c>
      <c r="B89" s="7" t="s">
        <v>145</v>
      </c>
      <c r="C89" s="7" t="s">
        <v>55</v>
      </c>
      <c r="D89" s="7" t="s">
        <v>56</v>
      </c>
      <c r="E89" s="7" t="s">
        <v>179</v>
      </c>
      <c r="F89" s="8">
        <v>0.33690086210984588</v>
      </c>
      <c r="G89" s="9">
        <v>27.98244017417338</v>
      </c>
    </row>
    <row r="90" spans="1:7" x14ac:dyDescent="0.35">
      <c r="A90" s="7" t="s">
        <v>260</v>
      </c>
      <c r="B90" s="7" t="s">
        <v>146</v>
      </c>
      <c r="C90" s="7" t="s">
        <v>58</v>
      </c>
      <c r="D90" s="7" t="s">
        <v>59</v>
      </c>
      <c r="E90" s="7" t="s">
        <v>175</v>
      </c>
      <c r="F90" s="8">
        <v>0.44924573415934688</v>
      </c>
      <c r="G90" s="9">
        <v>26.717703628622321</v>
      </c>
    </row>
    <row r="91" spans="1:7" x14ac:dyDescent="0.35">
      <c r="A91" s="7" t="s">
        <v>261</v>
      </c>
      <c r="B91" s="7" t="s">
        <v>147</v>
      </c>
      <c r="C91" s="7" t="s">
        <v>61</v>
      </c>
      <c r="D91" s="7" t="s">
        <v>62</v>
      </c>
      <c r="E91" s="7" t="s">
        <v>179</v>
      </c>
      <c r="F91" s="8">
        <v>0.26249671632287719</v>
      </c>
      <c r="G91" s="9">
        <v>12.47168839957236</v>
      </c>
    </row>
    <row r="92" spans="1:7" x14ac:dyDescent="0.35">
      <c r="A92" s="7" t="s">
        <v>262</v>
      </c>
      <c r="B92" s="7" t="s">
        <v>148</v>
      </c>
      <c r="C92" s="7" t="s">
        <v>49</v>
      </c>
      <c r="D92" s="7" t="s">
        <v>50</v>
      </c>
      <c r="E92" s="7" t="s">
        <v>192</v>
      </c>
      <c r="F92" s="8">
        <v>0.10381741067223579</v>
      </c>
      <c r="G92" s="9">
        <v>5.1085870063920114</v>
      </c>
    </row>
    <row r="93" spans="1:7" x14ac:dyDescent="0.35">
      <c r="A93" s="7" t="s">
        <v>263</v>
      </c>
      <c r="B93" s="7" t="s">
        <v>149</v>
      </c>
      <c r="C93" s="7" t="s">
        <v>52</v>
      </c>
      <c r="D93" s="7" t="s">
        <v>53</v>
      </c>
      <c r="E93" s="7" t="s">
        <v>175</v>
      </c>
      <c r="F93" s="8">
        <v>0.37096015425034767</v>
      </c>
      <c r="G93" s="9">
        <v>44.912180018689668</v>
      </c>
    </row>
    <row r="94" spans="1:7" x14ac:dyDescent="0.35">
      <c r="A94" s="7" t="s">
        <v>264</v>
      </c>
      <c r="B94" s="7" t="s">
        <v>150</v>
      </c>
      <c r="C94" s="7" t="s">
        <v>55</v>
      </c>
      <c r="D94" s="7" t="s">
        <v>56</v>
      </c>
      <c r="E94" s="7" t="s">
        <v>167</v>
      </c>
      <c r="F94" s="8">
        <v>0.39235327187760383</v>
      </c>
      <c r="G94" s="9">
        <v>45.070693829584847</v>
      </c>
    </row>
    <row r="95" spans="1:7" x14ac:dyDescent="0.35">
      <c r="A95" s="7" t="s">
        <v>265</v>
      </c>
      <c r="B95" s="7" t="s">
        <v>151</v>
      </c>
      <c r="C95" s="7" t="s">
        <v>58</v>
      </c>
      <c r="D95" s="7" t="s">
        <v>59</v>
      </c>
      <c r="E95" s="7" t="s">
        <v>167</v>
      </c>
      <c r="F95" s="8">
        <v>0.30257473890627329</v>
      </c>
      <c r="G95" s="9">
        <v>31.838522135026761</v>
      </c>
    </row>
    <row r="96" spans="1:7" x14ac:dyDescent="0.35">
      <c r="A96" s="7" t="s">
        <v>266</v>
      </c>
      <c r="B96" s="7" t="s">
        <v>152</v>
      </c>
      <c r="C96" s="7" t="s">
        <v>61</v>
      </c>
      <c r="D96" s="7" t="s">
        <v>62</v>
      </c>
      <c r="E96" s="7" t="s">
        <v>177</v>
      </c>
      <c r="F96" s="8">
        <v>0.39693523097955252</v>
      </c>
      <c r="G96" s="9">
        <v>17.28197465691068</v>
      </c>
    </row>
    <row r="97" spans="1:7" x14ac:dyDescent="0.35">
      <c r="A97" s="7" t="s">
        <v>267</v>
      </c>
      <c r="B97" s="7" t="s">
        <v>153</v>
      </c>
      <c r="C97" s="7" t="s">
        <v>49</v>
      </c>
      <c r="D97" s="7" t="s">
        <v>50</v>
      </c>
      <c r="E97" s="7" t="s">
        <v>179</v>
      </c>
      <c r="F97" s="8">
        <v>0.27220801836397579</v>
      </c>
      <c r="G97" s="9">
        <v>17.78587394332671</v>
      </c>
    </row>
    <row r="98" spans="1:7" x14ac:dyDescent="0.35">
      <c r="A98" s="7" t="s">
        <v>268</v>
      </c>
      <c r="B98" s="7" t="s">
        <v>154</v>
      </c>
      <c r="C98" s="7" t="s">
        <v>52</v>
      </c>
      <c r="D98" s="7" t="s">
        <v>53</v>
      </c>
      <c r="E98" s="7" t="s">
        <v>167</v>
      </c>
      <c r="F98" s="8">
        <v>0.28522977322189741</v>
      </c>
      <c r="G98" s="9">
        <v>36.434806104076848</v>
      </c>
    </row>
    <row r="99" spans="1:7" x14ac:dyDescent="0.35">
      <c r="A99" s="7" t="s">
        <v>269</v>
      </c>
      <c r="B99" s="7" t="s">
        <v>155</v>
      </c>
      <c r="C99" s="7" t="s">
        <v>55</v>
      </c>
      <c r="D99" s="7" t="s">
        <v>56</v>
      </c>
      <c r="E99" s="7" t="s">
        <v>167</v>
      </c>
      <c r="F99" s="8">
        <v>0.24239345826134731</v>
      </c>
      <c r="G99" s="9">
        <v>44.906957867652572</v>
      </c>
    </row>
    <row r="100" spans="1:7" x14ac:dyDescent="0.35">
      <c r="A100" s="7" t="s">
        <v>270</v>
      </c>
      <c r="B100" s="7" t="s">
        <v>156</v>
      </c>
      <c r="C100" s="7" t="s">
        <v>58</v>
      </c>
      <c r="D100" s="7" t="s">
        <v>59</v>
      </c>
      <c r="E100" s="7" t="s">
        <v>165</v>
      </c>
      <c r="F100" s="8">
        <v>6.1438607034842843E-2</v>
      </c>
      <c r="G100" s="9">
        <v>44.410778001123298</v>
      </c>
    </row>
    <row r="101" spans="1:7" x14ac:dyDescent="0.35">
      <c r="A101" s="7" t="s">
        <v>271</v>
      </c>
      <c r="B101" s="7" t="s">
        <v>157</v>
      </c>
      <c r="C101" s="7" t="s">
        <v>61</v>
      </c>
      <c r="D101" s="7" t="s">
        <v>62</v>
      </c>
      <c r="E101" s="7" t="s">
        <v>165</v>
      </c>
      <c r="F101" s="8">
        <v>9.8551142146987014E-2</v>
      </c>
      <c r="G101" s="9">
        <v>39.10383951995238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0"/>
  <sheetViews>
    <sheetView showGridLines="0" showRowColHeaders="0" zoomScale="145" zoomScaleNormal="145" workbookViewId="0">
      <selection sqref="A1:D10"/>
      <extLst>
        <ext xmlns:xlsdti="http://schemas.microsoft.com/office/spreadsheetml/2023/showDataTypeIcons" uri="{77bfe23e-c014-4d31-8a63-9c772dbf06b6}">
          <xlsdti:showDataTypeIcons visible="0"/>
        </ext>
      </extLst>
    </sheetView>
  </sheetViews>
  <sheetFormatPr baseColWidth="10" defaultColWidth="8.81640625" defaultRowHeight="14.5" x14ac:dyDescent="0.35"/>
  <cols>
    <col min="1" max="4" width="20" style="7" customWidth="1"/>
    <col min="5" max="16384" width="8.81640625" style="7"/>
  </cols>
  <sheetData>
    <row r="1" spans="1:4" x14ac:dyDescent="0.35">
      <c r="A1" s="6" t="s">
        <v>25</v>
      </c>
      <c r="B1" s="6" t="s">
        <v>272</v>
      </c>
      <c r="C1" s="6" t="s">
        <v>273</v>
      </c>
      <c r="D1" s="6" t="s">
        <v>274</v>
      </c>
    </row>
    <row r="2" spans="1:4" x14ac:dyDescent="0.35">
      <c r="A2" s="7" t="s">
        <v>165</v>
      </c>
      <c r="B2" s="10">
        <v>10</v>
      </c>
      <c r="C2" s="9">
        <v>1.6</v>
      </c>
      <c r="D2" s="10">
        <v>500</v>
      </c>
    </row>
    <row r="3" spans="1:4" x14ac:dyDescent="0.35">
      <c r="A3" s="7" t="s">
        <v>192</v>
      </c>
      <c r="B3" s="10">
        <v>15</v>
      </c>
      <c r="C3" s="9">
        <v>2.0099999999999998</v>
      </c>
      <c r="D3" s="10">
        <v>200</v>
      </c>
    </row>
    <row r="4" spans="1:4" x14ac:dyDescent="0.35">
      <c r="A4" s="7" t="s">
        <v>175</v>
      </c>
      <c r="B4" s="10">
        <v>50</v>
      </c>
      <c r="C4" s="9">
        <v>4.01</v>
      </c>
      <c r="D4" s="10">
        <v>300</v>
      </c>
    </row>
    <row r="5" spans="1:4" x14ac:dyDescent="0.35">
      <c r="A5" s="7" t="s">
        <v>177</v>
      </c>
      <c r="B5" s="10">
        <v>60</v>
      </c>
      <c r="C5" s="9">
        <v>4.82</v>
      </c>
      <c r="D5" s="10">
        <v>250</v>
      </c>
    </row>
    <row r="6" spans="1:4" x14ac:dyDescent="0.35">
      <c r="A6" s="7" t="s">
        <v>179</v>
      </c>
      <c r="B6" s="10">
        <v>65</v>
      </c>
      <c r="C6" s="9">
        <v>5.63</v>
      </c>
      <c r="D6" s="10">
        <v>280</v>
      </c>
    </row>
    <row r="7" spans="1:4" x14ac:dyDescent="0.35">
      <c r="A7" s="7" t="s">
        <v>197</v>
      </c>
      <c r="B7" s="10">
        <v>45</v>
      </c>
      <c r="C7" s="9">
        <v>3.61</v>
      </c>
      <c r="D7" s="10">
        <v>180</v>
      </c>
    </row>
    <row r="8" spans="1:4" x14ac:dyDescent="0.35">
      <c r="A8" s="7" t="s">
        <v>167</v>
      </c>
      <c r="B8" s="10">
        <v>100</v>
      </c>
      <c r="C8" s="9">
        <v>8.0399999999999991</v>
      </c>
      <c r="D8" s="10">
        <v>400</v>
      </c>
    </row>
    <row r="9" spans="1:4" x14ac:dyDescent="0.35">
      <c r="A9" s="7" t="s">
        <v>170</v>
      </c>
      <c r="B9" s="10">
        <v>80</v>
      </c>
      <c r="C9" s="9">
        <v>6.42</v>
      </c>
      <c r="D9" s="10">
        <v>350</v>
      </c>
    </row>
    <row r="10" spans="1:4" x14ac:dyDescent="0.35">
      <c r="A10" s="7" t="s">
        <v>275</v>
      </c>
      <c r="B10" s="10">
        <v>70</v>
      </c>
      <c r="C10" s="9">
        <v>5.63</v>
      </c>
      <c r="D10" s="10">
        <v>220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0"/>
  <sheetViews>
    <sheetView showGridLines="0" showRowColHeaders="0" zoomScale="145" zoomScaleNormal="145" workbookViewId="0">
      <selection activeCell="E27" sqref="E27"/>
      <extLst>
        <ext xmlns:xlsdti="http://schemas.microsoft.com/office/spreadsheetml/2023/showDataTypeIcons" uri="{77bfe23e-c014-4d31-8a63-9c772dbf06b6}">
          <xlsdti:showDataTypeIcons visible="0"/>
        </ext>
      </extLst>
    </sheetView>
  </sheetViews>
  <sheetFormatPr baseColWidth="10" defaultColWidth="8.81640625" defaultRowHeight="14.5" x14ac:dyDescent="0.35"/>
  <cols>
    <col min="1" max="1" width="20.453125" style="7" bestFit="1" customWidth="1"/>
    <col min="2" max="2" width="20" style="7" bestFit="1" customWidth="1"/>
    <col min="3" max="3" width="21.26953125" style="7" bestFit="1" customWidth="1"/>
    <col min="4" max="4" width="25.1796875" style="7" bestFit="1" customWidth="1"/>
    <col min="5" max="5" width="19.26953125" style="7" bestFit="1" customWidth="1"/>
  </cols>
  <sheetData>
    <row r="1" spans="1:5" x14ac:dyDescent="0.35">
      <c r="A1" s="16" t="s">
        <v>25</v>
      </c>
      <c r="B1" s="16" t="s">
        <v>276</v>
      </c>
      <c r="C1" s="16" t="s">
        <v>277</v>
      </c>
      <c r="D1" s="16" t="s">
        <v>278</v>
      </c>
      <c r="E1" s="16" t="s">
        <v>279</v>
      </c>
    </row>
    <row r="2" spans="1:5" x14ac:dyDescent="0.35">
      <c r="A2" s="7" t="s">
        <v>165</v>
      </c>
      <c r="B2" s="10">
        <v>500</v>
      </c>
      <c r="C2" s="8">
        <v>4.284148808438248</v>
      </c>
      <c r="D2" s="8">
        <v>495.71585119156168</v>
      </c>
      <c r="E2" s="9">
        <v>0.85682976168764946</v>
      </c>
    </row>
    <row r="3" spans="1:5" x14ac:dyDescent="0.35">
      <c r="A3" s="7" t="s">
        <v>192</v>
      </c>
      <c r="B3" s="10">
        <v>200</v>
      </c>
      <c r="C3" s="8">
        <v>1.124845948413719</v>
      </c>
      <c r="D3" s="8">
        <v>198.87515405158629</v>
      </c>
      <c r="E3" s="9">
        <v>0.5624229742068596</v>
      </c>
    </row>
    <row r="4" spans="1:5" x14ac:dyDescent="0.35">
      <c r="A4" s="7" t="s">
        <v>175</v>
      </c>
      <c r="B4" s="10">
        <v>300</v>
      </c>
      <c r="C4" s="8">
        <v>2.8136089112789322</v>
      </c>
      <c r="D4" s="8">
        <v>297.18639108872111</v>
      </c>
      <c r="E4" s="9">
        <v>0.93786963709297722</v>
      </c>
    </row>
    <row r="5" spans="1:5" x14ac:dyDescent="0.35">
      <c r="A5" s="7" t="s">
        <v>177</v>
      </c>
      <c r="B5" s="10">
        <v>250</v>
      </c>
      <c r="C5" s="8">
        <v>4.4088402988203876</v>
      </c>
      <c r="D5" s="8">
        <v>245.59115970117961</v>
      </c>
      <c r="E5" s="9">
        <v>1.7635361195281549</v>
      </c>
    </row>
    <row r="6" spans="1:5" x14ac:dyDescent="0.35">
      <c r="A6" s="7" t="s">
        <v>179</v>
      </c>
      <c r="B6" s="10">
        <v>280</v>
      </c>
      <c r="C6" s="8">
        <v>5.256161762917416</v>
      </c>
      <c r="D6" s="8">
        <v>274.74383823708263</v>
      </c>
      <c r="E6" s="9">
        <v>1.877200629613363</v>
      </c>
    </row>
    <row r="7" spans="1:5" x14ac:dyDescent="0.35">
      <c r="A7" s="7" t="s">
        <v>197</v>
      </c>
      <c r="B7" s="10">
        <v>180</v>
      </c>
      <c r="C7" s="8">
        <v>1.693348659687461</v>
      </c>
      <c r="D7" s="8">
        <v>178.3066513403125</v>
      </c>
      <c r="E7" s="9">
        <v>0.94074925538192278</v>
      </c>
    </row>
    <row r="8" spans="1:5" x14ac:dyDescent="0.35">
      <c r="A8" s="7" t="s">
        <v>167</v>
      </c>
      <c r="B8" s="10">
        <v>400</v>
      </c>
      <c r="C8" s="8">
        <v>3.7767000346159691</v>
      </c>
      <c r="D8" s="8">
        <v>396.22329996538411</v>
      </c>
      <c r="E8" s="9">
        <v>0.94417500865399229</v>
      </c>
    </row>
    <row r="9" spans="1:5" x14ac:dyDescent="0.35">
      <c r="A9" s="7" t="s">
        <v>170</v>
      </c>
      <c r="B9" s="10">
        <v>350</v>
      </c>
      <c r="C9" s="8">
        <v>2.8004790278472891</v>
      </c>
      <c r="D9" s="8">
        <v>347.1995209721527</v>
      </c>
      <c r="E9" s="9">
        <v>0.80013686509922533</v>
      </c>
    </row>
    <row r="10" spans="1:5" x14ac:dyDescent="0.35">
      <c r="A10" s="7" t="s">
        <v>275</v>
      </c>
      <c r="B10" s="10">
        <v>220</v>
      </c>
      <c r="C10" s="8">
        <v>0</v>
      </c>
      <c r="D10" s="8">
        <v>220</v>
      </c>
      <c r="E10" s="9">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501"/>
  <sheetViews>
    <sheetView showGridLines="0" showRowColHeaders="0" topLeftCell="A13" zoomScale="145" zoomScaleNormal="145" workbookViewId="0">
      <selection activeCell="H7" sqref="H7"/>
      <extLst>
        <ext xmlns:xlsdti="http://schemas.microsoft.com/office/spreadsheetml/2023/showDataTypeIcons" uri="{77bfe23e-c014-4d31-8a63-9c772dbf06b6}">
          <xlsdti:showDataTypeIcons visible="0"/>
        </ext>
      </extLst>
    </sheetView>
  </sheetViews>
  <sheetFormatPr baseColWidth="10" defaultColWidth="8.81640625" defaultRowHeight="14.5" x14ac:dyDescent="0.35"/>
  <cols>
    <col min="1" max="1" width="10.26953125" style="7" bestFit="1" customWidth="1"/>
    <col min="2" max="2" width="6" style="7" bestFit="1" customWidth="1"/>
    <col min="3" max="3" width="9.54296875" style="7" bestFit="1" customWidth="1"/>
    <col min="4" max="4" width="9.81640625" style="7" bestFit="1" customWidth="1"/>
    <col min="5" max="5" width="20.453125" style="7" bestFit="1" customWidth="1"/>
    <col min="6" max="6" width="17.26953125" style="7" bestFit="1" customWidth="1"/>
  </cols>
  <sheetData>
    <row r="1" spans="1:6" x14ac:dyDescent="0.35">
      <c r="A1" s="6" t="s">
        <v>280</v>
      </c>
      <c r="B1" s="6" t="s">
        <v>281</v>
      </c>
      <c r="C1" s="6" t="s">
        <v>17</v>
      </c>
      <c r="D1" s="6" t="s">
        <v>282</v>
      </c>
      <c r="E1" s="6" t="s">
        <v>163</v>
      </c>
      <c r="F1" s="6" t="s">
        <v>283</v>
      </c>
    </row>
    <row r="2" spans="1:6" x14ac:dyDescent="0.35">
      <c r="A2" s="10">
        <v>1000</v>
      </c>
      <c r="B2" s="7">
        <v>1</v>
      </c>
      <c r="C2" s="7" t="s">
        <v>150</v>
      </c>
      <c r="D2" s="7">
        <v>4</v>
      </c>
      <c r="E2" s="7" t="s">
        <v>167</v>
      </c>
      <c r="F2" s="9">
        <v>8.3699999999999992</v>
      </c>
    </row>
    <row r="3" spans="1:6" x14ac:dyDescent="0.35">
      <c r="A3" s="10">
        <v>1000</v>
      </c>
      <c r="B3" s="7">
        <v>2</v>
      </c>
      <c r="C3" s="7" t="s">
        <v>89</v>
      </c>
      <c r="D3" s="7">
        <v>7</v>
      </c>
      <c r="E3" s="7" t="s">
        <v>165</v>
      </c>
      <c r="F3" s="9">
        <v>1.67</v>
      </c>
    </row>
    <row r="4" spans="1:6" x14ac:dyDescent="0.35">
      <c r="A4" s="10">
        <v>1000</v>
      </c>
      <c r="B4" s="7">
        <v>3</v>
      </c>
      <c r="C4" s="7" t="s">
        <v>64</v>
      </c>
      <c r="D4" s="7">
        <v>6</v>
      </c>
      <c r="E4" s="7" t="s">
        <v>167</v>
      </c>
      <c r="F4" s="9">
        <v>8.3699999999999992</v>
      </c>
    </row>
    <row r="5" spans="1:6" x14ac:dyDescent="0.35">
      <c r="A5" s="10">
        <v>1001</v>
      </c>
      <c r="B5" s="7">
        <v>1</v>
      </c>
      <c r="C5" s="7" t="s">
        <v>77</v>
      </c>
      <c r="D5" s="7">
        <v>1</v>
      </c>
      <c r="E5" s="7" t="s">
        <v>165</v>
      </c>
      <c r="F5" s="9">
        <v>1.67</v>
      </c>
    </row>
    <row r="6" spans="1:6" x14ac:dyDescent="0.35">
      <c r="A6" s="10">
        <v>1001</v>
      </c>
      <c r="B6" s="7">
        <v>2</v>
      </c>
      <c r="C6" s="7" t="s">
        <v>79</v>
      </c>
      <c r="D6" s="7">
        <v>5</v>
      </c>
      <c r="E6" s="7" t="s">
        <v>192</v>
      </c>
      <c r="F6" s="9">
        <v>2.09</v>
      </c>
    </row>
    <row r="7" spans="1:6" x14ac:dyDescent="0.35">
      <c r="A7" s="10">
        <v>1001</v>
      </c>
      <c r="B7" s="7">
        <v>3</v>
      </c>
      <c r="C7" s="7" t="s">
        <v>133</v>
      </c>
      <c r="D7" s="7">
        <v>4</v>
      </c>
      <c r="E7" s="7" t="s">
        <v>175</v>
      </c>
      <c r="F7" s="9">
        <v>4.18</v>
      </c>
    </row>
    <row r="8" spans="1:6" x14ac:dyDescent="0.35">
      <c r="A8" s="10">
        <v>1002</v>
      </c>
      <c r="B8" s="7">
        <v>1</v>
      </c>
      <c r="C8" s="7" t="s">
        <v>109</v>
      </c>
      <c r="D8" s="7">
        <v>7</v>
      </c>
      <c r="E8" s="7" t="s">
        <v>179</v>
      </c>
      <c r="F8" s="9">
        <v>5.86</v>
      </c>
    </row>
    <row r="9" spans="1:6" x14ac:dyDescent="0.35">
      <c r="A9" s="10">
        <v>1002</v>
      </c>
      <c r="B9" s="7">
        <v>2</v>
      </c>
      <c r="C9" s="7" t="s">
        <v>128</v>
      </c>
      <c r="D9" s="7">
        <v>1</v>
      </c>
      <c r="E9" s="7" t="s">
        <v>177</v>
      </c>
      <c r="F9" s="9">
        <v>5.0199999999999996</v>
      </c>
    </row>
    <row r="10" spans="1:6" x14ac:dyDescent="0.35">
      <c r="A10" s="10">
        <v>1002</v>
      </c>
      <c r="B10" s="7">
        <v>3</v>
      </c>
      <c r="C10" s="7" t="s">
        <v>112</v>
      </c>
      <c r="D10" s="7">
        <v>6</v>
      </c>
      <c r="E10" s="7" t="s">
        <v>179</v>
      </c>
      <c r="F10" s="9">
        <v>5.86</v>
      </c>
    </row>
    <row r="11" spans="1:6" x14ac:dyDescent="0.35">
      <c r="A11" s="10">
        <v>1002</v>
      </c>
      <c r="B11" s="7">
        <v>4</v>
      </c>
      <c r="C11" s="7" t="s">
        <v>100</v>
      </c>
      <c r="D11" s="7">
        <v>1</v>
      </c>
      <c r="E11" s="7" t="s">
        <v>170</v>
      </c>
      <c r="F11" s="9">
        <v>6.69</v>
      </c>
    </row>
    <row r="12" spans="1:6" x14ac:dyDescent="0.35">
      <c r="A12" s="10">
        <v>1002</v>
      </c>
      <c r="B12" s="7">
        <v>5</v>
      </c>
      <c r="C12" s="7" t="s">
        <v>64</v>
      </c>
      <c r="D12" s="7">
        <v>2</v>
      </c>
      <c r="E12" s="7" t="s">
        <v>167</v>
      </c>
      <c r="F12" s="9">
        <v>8.3699999999999992</v>
      </c>
    </row>
    <row r="13" spans="1:6" x14ac:dyDescent="0.35">
      <c r="A13" s="10">
        <v>1003</v>
      </c>
      <c r="B13" s="7">
        <v>1</v>
      </c>
      <c r="C13" s="7" t="s">
        <v>151</v>
      </c>
      <c r="D13" s="7">
        <v>3</v>
      </c>
      <c r="E13" s="7" t="s">
        <v>167</v>
      </c>
      <c r="F13" s="9">
        <v>8.3699999999999992</v>
      </c>
    </row>
    <row r="14" spans="1:6" x14ac:dyDescent="0.35">
      <c r="A14" s="10">
        <v>1003</v>
      </c>
      <c r="B14" s="7">
        <v>2</v>
      </c>
      <c r="C14" s="7" t="s">
        <v>97</v>
      </c>
      <c r="D14" s="7">
        <v>3</v>
      </c>
      <c r="E14" s="7" t="s">
        <v>165</v>
      </c>
      <c r="F14" s="9">
        <v>1.67</v>
      </c>
    </row>
    <row r="15" spans="1:6" x14ac:dyDescent="0.35">
      <c r="A15" s="10">
        <v>1003</v>
      </c>
      <c r="B15" s="7">
        <v>3</v>
      </c>
      <c r="C15" s="7" t="s">
        <v>64</v>
      </c>
      <c r="D15" s="7">
        <v>3</v>
      </c>
      <c r="E15" s="7" t="s">
        <v>167</v>
      </c>
      <c r="F15" s="9">
        <v>8.3699999999999992</v>
      </c>
    </row>
    <row r="16" spans="1:6" x14ac:dyDescent="0.35">
      <c r="A16" s="10">
        <v>1003</v>
      </c>
      <c r="B16" s="7">
        <v>4</v>
      </c>
      <c r="C16" s="7" t="s">
        <v>70</v>
      </c>
      <c r="D16" s="7">
        <v>7</v>
      </c>
      <c r="E16" s="7" t="s">
        <v>179</v>
      </c>
      <c r="F16" s="9">
        <v>5.86</v>
      </c>
    </row>
    <row r="17" spans="1:6" x14ac:dyDescent="0.35">
      <c r="A17" s="10">
        <v>1003</v>
      </c>
      <c r="B17" s="7">
        <v>5</v>
      </c>
      <c r="C17" s="7" t="s">
        <v>99</v>
      </c>
      <c r="D17" s="7">
        <v>1</v>
      </c>
      <c r="E17" s="7" t="s">
        <v>165</v>
      </c>
      <c r="F17" s="9">
        <v>1.67</v>
      </c>
    </row>
    <row r="18" spans="1:6" x14ac:dyDescent="0.35">
      <c r="A18" s="10">
        <v>1004</v>
      </c>
      <c r="B18" s="7">
        <v>1</v>
      </c>
      <c r="C18" s="7" t="s">
        <v>125</v>
      </c>
      <c r="D18" s="7">
        <v>2</v>
      </c>
      <c r="E18" s="7" t="s">
        <v>170</v>
      </c>
      <c r="F18" s="9">
        <v>6.69</v>
      </c>
    </row>
    <row r="19" spans="1:6" x14ac:dyDescent="0.35">
      <c r="A19" s="10">
        <v>1004</v>
      </c>
      <c r="B19" s="7">
        <v>2</v>
      </c>
      <c r="C19" s="7" t="s">
        <v>90</v>
      </c>
      <c r="D19" s="7">
        <v>2</v>
      </c>
      <c r="E19" s="7" t="s">
        <v>165</v>
      </c>
      <c r="F19" s="9">
        <v>1.67</v>
      </c>
    </row>
    <row r="20" spans="1:6" x14ac:dyDescent="0.35">
      <c r="A20" s="10">
        <v>1004</v>
      </c>
      <c r="B20" s="7">
        <v>3</v>
      </c>
      <c r="C20" s="7" t="s">
        <v>101</v>
      </c>
      <c r="D20" s="7">
        <v>3</v>
      </c>
      <c r="E20" s="7" t="s">
        <v>179</v>
      </c>
      <c r="F20" s="9">
        <v>5.86</v>
      </c>
    </row>
    <row r="21" spans="1:6" x14ac:dyDescent="0.35">
      <c r="A21" s="10">
        <v>1004</v>
      </c>
      <c r="B21" s="7">
        <v>4</v>
      </c>
      <c r="C21" s="7" t="s">
        <v>131</v>
      </c>
      <c r="D21" s="7">
        <v>3</v>
      </c>
      <c r="E21" s="7" t="s">
        <v>167</v>
      </c>
      <c r="F21" s="9">
        <v>8.3699999999999992</v>
      </c>
    </row>
    <row r="22" spans="1:6" x14ac:dyDescent="0.35">
      <c r="A22" s="10">
        <v>1005</v>
      </c>
      <c r="B22" s="7">
        <v>1</v>
      </c>
      <c r="C22" s="7" t="s">
        <v>122</v>
      </c>
      <c r="D22" s="7">
        <v>3</v>
      </c>
      <c r="E22" s="7" t="s">
        <v>167</v>
      </c>
      <c r="F22" s="9">
        <v>8.3699999999999992</v>
      </c>
    </row>
    <row r="23" spans="1:6" x14ac:dyDescent="0.35">
      <c r="A23" s="10">
        <v>1005</v>
      </c>
      <c r="B23" s="7">
        <v>2</v>
      </c>
      <c r="C23" s="7" t="s">
        <v>107</v>
      </c>
      <c r="D23" s="7">
        <v>3</v>
      </c>
      <c r="E23" s="7" t="s">
        <v>165</v>
      </c>
      <c r="F23" s="9">
        <v>1.67</v>
      </c>
    </row>
    <row r="24" spans="1:6" x14ac:dyDescent="0.35">
      <c r="A24" s="10">
        <v>1006</v>
      </c>
      <c r="B24" s="7">
        <v>1</v>
      </c>
      <c r="C24" s="7" t="s">
        <v>149</v>
      </c>
      <c r="D24" s="7">
        <v>1</v>
      </c>
      <c r="E24" s="7" t="s">
        <v>175</v>
      </c>
      <c r="F24" s="9">
        <v>4.18</v>
      </c>
    </row>
    <row r="25" spans="1:6" x14ac:dyDescent="0.35">
      <c r="A25" s="10">
        <v>1006</v>
      </c>
      <c r="B25" s="7">
        <v>2</v>
      </c>
      <c r="C25" s="7" t="s">
        <v>101</v>
      </c>
      <c r="D25" s="7">
        <v>6</v>
      </c>
      <c r="E25" s="7" t="s">
        <v>179</v>
      </c>
      <c r="F25" s="9">
        <v>5.86</v>
      </c>
    </row>
    <row r="26" spans="1:6" x14ac:dyDescent="0.35">
      <c r="A26" s="10">
        <v>1006</v>
      </c>
      <c r="B26" s="7">
        <v>3</v>
      </c>
      <c r="C26" s="7" t="s">
        <v>54</v>
      </c>
      <c r="D26" s="7">
        <v>3</v>
      </c>
      <c r="E26" s="7" t="s">
        <v>167</v>
      </c>
      <c r="F26" s="9">
        <v>8.3699999999999992</v>
      </c>
    </row>
    <row r="27" spans="1:6" x14ac:dyDescent="0.35">
      <c r="A27" s="10">
        <v>1007</v>
      </c>
      <c r="B27" s="7">
        <v>1</v>
      </c>
      <c r="C27" s="7" t="s">
        <v>133</v>
      </c>
      <c r="D27" s="7">
        <v>2</v>
      </c>
      <c r="E27" s="7" t="s">
        <v>175</v>
      </c>
      <c r="F27" s="9">
        <v>4.18</v>
      </c>
    </row>
    <row r="28" spans="1:6" x14ac:dyDescent="0.35">
      <c r="A28" s="10">
        <v>1007</v>
      </c>
      <c r="B28" s="7">
        <v>2</v>
      </c>
      <c r="C28" s="7" t="s">
        <v>67</v>
      </c>
      <c r="D28" s="7">
        <v>4</v>
      </c>
      <c r="E28" s="7" t="s">
        <v>179</v>
      </c>
      <c r="F28" s="9">
        <v>5.86</v>
      </c>
    </row>
    <row r="29" spans="1:6" x14ac:dyDescent="0.35">
      <c r="A29" s="10">
        <v>1008</v>
      </c>
      <c r="B29" s="7">
        <v>1</v>
      </c>
      <c r="C29" s="7" t="s">
        <v>153</v>
      </c>
      <c r="D29" s="7">
        <v>2</v>
      </c>
      <c r="E29" s="7" t="s">
        <v>179</v>
      </c>
      <c r="F29" s="9">
        <v>5.86</v>
      </c>
    </row>
    <row r="30" spans="1:6" x14ac:dyDescent="0.35">
      <c r="A30" s="10">
        <v>1008</v>
      </c>
      <c r="B30" s="7">
        <v>2</v>
      </c>
      <c r="C30" s="7" t="s">
        <v>133</v>
      </c>
      <c r="D30" s="7">
        <v>4</v>
      </c>
      <c r="E30" s="7" t="s">
        <v>175</v>
      </c>
      <c r="F30" s="9">
        <v>4.18</v>
      </c>
    </row>
    <row r="31" spans="1:6" x14ac:dyDescent="0.35">
      <c r="A31" s="10">
        <v>1009</v>
      </c>
      <c r="B31" s="7">
        <v>1</v>
      </c>
      <c r="C31" s="7" t="s">
        <v>70</v>
      </c>
      <c r="D31" s="7">
        <v>7</v>
      </c>
      <c r="E31" s="7" t="s">
        <v>179</v>
      </c>
      <c r="F31" s="9">
        <v>5.86</v>
      </c>
    </row>
    <row r="32" spans="1:6" x14ac:dyDescent="0.35">
      <c r="A32" s="10">
        <v>1009</v>
      </c>
      <c r="B32" s="7">
        <v>2</v>
      </c>
      <c r="C32" s="7" t="s">
        <v>118</v>
      </c>
      <c r="D32" s="7">
        <v>2</v>
      </c>
      <c r="E32" s="7" t="s">
        <v>165</v>
      </c>
      <c r="F32" s="9">
        <v>1.67</v>
      </c>
    </row>
    <row r="33" spans="1:6" x14ac:dyDescent="0.35">
      <c r="A33" s="10">
        <v>1009</v>
      </c>
      <c r="B33" s="7">
        <v>3</v>
      </c>
      <c r="C33" s="7" t="s">
        <v>130</v>
      </c>
      <c r="D33" s="7">
        <v>7</v>
      </c>
      <c r="E33" s="7" t="s">
        <v>165</v>
      </c>
      <c r="F33" s="9">
        <v>1.67</v>
      </c>
    </row>
    <row r="34" spans="1:6" x14ac:dyDescent="0.35">
      <c r="A34" s="10">
        <v>1009</v>
      </c>
      <c r="B34" s="7">
        <v>4</v>
      </c>
      <c r="C34" s="7" t="s">
        <v>124</v>
      </c>
      <c r="D34" s="7">
        <v>1</v>
      </c>
      <c r="E34" s="7" t="s">
        <v>167</v>
      </c>
      <c r="F34" s="9">
        <v>8.3699999999999992</v>
      </c>
    </row>
    <row r="35" spans="1:6" x14ac:dyDescent="0.35">
      <c r="A35" s="10">
        <v>1010</v>
      </c>
      <c r="B35" s="7">
        <v>1</v>
      </c>
      <c r="C35" s="7" t="s">
        <v>152</v>
      </c>
      <c r="D35" s="7">
        <v>6</v>
      </c>
      <c r="E35" s="7" t="s">
        <v>177</v>
      </c>
      <c r="F35" s="9">
        <v>5.0199999999999996</v>
      </c>
    </row>
    <row r="36" spans="1:6" x14ac:dyDescent="0.35">
      <c r="A36" s="10">
        <v>1010</v>
      </c>
      <c r="B36" s="7">
        <v>2</v>
      </c>
      <c r="C36" s="7" t="s">
        <v>157</v>
      </c>
      <c r="D36" s="7">
        <v>5</v>
      </c>
      <c r="E36" s="7" t="s">
        <v>165</v>
      </c>
      <c r="F36" s="9">
        <v>1.67</v>
      </c>
    </row>
    <row r="37" spans="1:6" x14ac:dyDescent="0.35">
      <c r="A37" s="10">
        <v>1010</v>
      </c>
      <c r="B37" s="7">
        <v>3</v>
      </c>
      <c r="C37" s="7" t="s">
        <v>84</v>
      </c>
      <c r="D37" s="7">
        <v>3</v>
      </c>
      <c r="E37" s="7" t="s">
        <v>192</v>
      </c>
      <c r="F37" s="9">
        <v>2.09</v>
      </c>
    </row>
    <row r="38" spans="1:6" x14ac:dyDescent="0.35">
      <c r="A38" s="10">
        <v>1010</v>
      </c>
      <c r="B38" s="7">
        <v>4</v>
      </c>
      <c r="C38" s="7" t="s">
        <v>149</v>
      </c>
      <c r="D38" s="7">
        <v>5</v>
      </c>
      <c r="E38" s="7" t="s">
        <v>175</v>
      </c>
      <c r="F38" s="9">
        <v>4.18</v>
      </c>
    </row>
    <row r="39" spans="1:6" x14ac:dyDescent="0.35">
      <c r="A39" s="10">
        <v>1011</v>
      </c>
      <c r="B39" s="7">
        <v>1</v>
      </c>
      <c r="C39" s="7" t="s">
        <v>129</v>
      </c>
      <c r="D39" s="7">
        <v>5</v>
      </c>
      <c r="E39" s="7" t="s">
        <v>167</v>
      </c>
      <c r="F39" s="9">
        <v>8.3699999999999992</v>
      </c>
    </row>
    <row r="40" spans="1:6" x14ac:dyDescent="0.35">
      <c r="A40" s="10">
        <v>1011</v>
      </c>
      <c r="B40" s="7">
        <v>2</v>
      </c>
      <c r="C40" s="7" t="s">
        <v>123</v>
      </c>
      <c r="D40" s="7">
        <v>4</v>
      </c>
      <c r="E40" s="7" t="s">
        <v>179</v>
      </c>
      <c r="F40" s="9">
        <v>5.86</v>
      </c>
    </row>
    <row r="41" spans="1:6" x14ac:dyDescent="0.35">
      <c r="A41" s="10">
        <v>1011</v>
      </c>
      <c r="B41" s="7">
        <v>3</v>
      </c>
      <c r="C41" s="7" t="s">
        <v>69</v>
      </c>
      <c r="D41" s="7">
        <v>7</v>
      </c>
      <c r="E41" s="7" t="s">
        <v>170</v>
      </c>
      <c r="F41" s="9">
        <v>6.69</v>
      </c>
    </row>
    <row r="42" spans="1:6" x14ac:dyDescent="0.35">
      <c r="A42" s="10">
        <v>1012</v>
      </c>
      <c r="B42" s="7">
        <v>1</v>
      </c>
      <c r="C42" s="7" t="s">
        <v>65</v>
      </c>
      <c r="D42" s="7">
        <v>4</v>
      </c>
      <c r="E42" s="7" t="s">
        <v>175</v>
      </c>
      <c r="F42" s="9">
        <v>4.18</v>
      </c>
    </row>
    <row r="43" spans="1:6" x14ac:dyDescent="0.35">
      <c r="A43" s="10">
        <v>1012</v>
      </c>
      <c r="B43" s="7">
        <v>2</v>
      </c>
      <c r="C43" s="7" t="s">
        <v>97</v>
      </c>
      <c r="D43" s="7">
        <v>6</v>
      </c>
      <c r="E43" s="7" t="s">
        <v>165</v>
      </c>
      <c r="F43" s="9">
        <v>1.67</v>
      </c>
    </row>
    <row r="44" spans="1:6" x14ac:dyDescent="0.35">
      <c r="A44" s="10">
        <v>1012</v>
      </c>
      <c r="B44" s="7">
        <v>3</v>
      </c>
      <c r="C44" s="7" t="s">
        <v>88</v>
      </c>
      <c r="D44" s="7">
        <v>1</v>
      </c>
      <c r="E44" s="7" t="s">
        <v>175</v>
      </c>
      <c r="F44" s="9">
        <v>4.18</v>
      </c>
    </row>
    <row r="45" spans="1:6" x14ac:dyDescent="0.35">
      <c r="A45" s="10">
        <v>1013</v>
      </c>
      <c r="B45" s="7">
        <v>1</v>
      </c>
      <c r="C45" s="7" t="s">
        <v>76</v>
      </c>
      <c r="D45" s="7">
        <v>6</v>
      </c>
      <c r="E45" s="7" t="s">
        <v>179</v>
      </c>
      <c r="F45" s="9">
        <v>5.86</v>
      </c>
    </row>
    <row r="46" spans="1:6" x14ac:dyDescent="0.35">
      <c r="A46" s="10">
        <v>1013</v>
      </c>
      <c r="B46" s="7">
        <v>2</v>
      </c>
      <c r="C46" s="7" t="s">
        <v>80</v>
      </c>
      <c r="D46" s="7">
        <v>4</v>
      </c>
      <c r="E46" s="7" t="s">
        <v>165</v>
      </c>
      <c r="F46" s="9">
        <v>1.67</v>
      </c>
    </row>
    <row r="47" spans="1:6" x14ac:dyDescent="0.35">
      <c r="A47" s="10">
        <v>1014</v>
      </c>
      <c r="B47" s="7">
        <v>1</v>
      </c>
      <c r="C47" s="7" t="s">
        <v>68</v>
      </c>
      <c r="D47" s="7">
        <v>4</v>
      </c>
      <c r="E47" s="7" t="s">
        <v>170</v>
      </c>
      <c r="F47" s="9">
        <v>6.69</v>
      </c>
    </row>
    <row r="48" spans="1:6" x14ac:dyDescent="0.35">
      <c r="A48" s="10">
        <v>1014</v>
      </c>
      <c r="B48" s="7">
        <v>2</v>
      </c>
      <c r="C48" s="7" t="s">
        <v>135</v>
      </c>
      <c r="D48" s="7">
        <v>2</v>
      </c>
      <c r="E48" s="7" t="s">
        <v>167</v>
      </c>
      <c r="F48" s="9">
        <v>8.3699999999999992</v>
      </c>
    </row>
    <row r="49" spans="1:6" x14ac:dyDescent="0.35">
      <c r="A49" s="10">
        <v>1014</v>
      </c>
      <c r="B49" s="7">
        <v>3</v>
      </c>
      <c r="C49" s="7" t="s">
        <v>133</v>
      </c>
      <c r="D49" s="7">
        <v>3</v>
      </c>
      <c r="E49" s="7" t="s">
        <v>175</v>
      </c>
      <c r="F49" s="9">
        <v>4.18</v>
      </c>
    </row>
    <row r="50" spans="1:6" x14ac:dyDescent="0.35">
      <c r="A50" s="10">
        <v>1015</v>
      </c>
      <c r="B50" s="7">
        <v>1</v>
      </c>
      <c r="C50" s="7" t="s">
        <v>111</v>
      </c>
      <c r="D50" s="7">
        <v>6</v>
      </c>
      <c r="E50" s="7" t="s">
        <v>179</v>
      </c>
      <c r="F50" s="9">
        <v>5.86</v>
      </c>
    </row>
    <row r="51" spans="1:6" x14ac:dyDescent="0.35">
      <c r="A51" s="10">
        <v>1015</v>
      </c>
      <c r="B51" s="7">
        <v>2</v>
      </c>
      <c r="C51" s="7" t="s">
        <v>142</v>
      </c>
      <c r="D51" s="7">
        <v>5</v>
      </c>
      <c r="E51" s="7" t="s">
        <v>192</v>
      </c>
      <c r="F51" s="9">
        <v>2.09</v>
      </c>
    </row>
    <row r="52" spans="1:6" x14ac:dyDescent="0.35">
      <c r="A52" s="10">
        <v>1016</v>
      </c>
      <c r="B52" s="7">
        <v>1</v>
      </c>
      <c r="C52" s="7" t="s">
        <v>133</v>
      </c>
      <c r="D52" s="7">
        <v>2</v>
      </c>
      <c r="E52" s="7" t="s">
        <v>175</v>
      </c>
      <c r="F52" s="9">
        <v>4.18</v>
      </c>
    </row>
    <row r="53" spans="1:6" x14ac:dyDescent="0.35">
      <c r="A53" s="10">
        <v>1016</v>
      </c>
      <c r="B53" s="7">
        <v>2</v>
      </c>
      <c r="C53" s="7" t="s">
        <v>141</v>
      </c>
      <c r="D53" s="7">
        <v>4</v>
      </c>
      <c r="E53" s="7" t="s">
        <v>170</v>
      </c>
      <c r="F53" s="9">
        <v>6.69</v>
      </c>
    </row>
    <row r="54" spans="1:6" x14ac:dyDescent="0.35">
      <c r="A54" s="10">
        <v>1016</v>
      </c>
      <c r="B54" s="7">
        <v>3</v>
      </c>
      <c r="C54" s="7" t="s">
        <v>108</v>
      </c>
      <c r="D54" s="7">
        <v>6</v>
      </c>
      <c r="E54" s="7" t="s">
        <v>177</v>
      </c>
      <c r="F54" s="9">
        <v>5.0199999999999996</v>
      </c>
    </row>
    <row r="55" spans="1:6" x14ac:dyDescent="0.35">
      <c r="A55" s="10">
        <v>1016</v>
      </c>
      <c r="B55" s="7">
        <v>4</v>
      </c>
      <c r="C55" s="7" t="s">
        <v>64</v>
      </c>
      <c r="D55" s="7">
        <v>2</v>
      </c>
      <c r="E55" s="7" t="s">
        <v>167</v>
      </c>
      <c r="F55" s="9">
        <v>8.3699999999999992</v>
      </c>
    </row>
    <row r="56" spans="1:6" x14ac:dyDescent="0.35">
      <c r="A56" s="10">
        <v>1016</v>
      </c>
      <c r="B56" s="7">
        <v>5</v>
      </c>
      <c r="C56" s="7" t="s">
        <v>107</v>
      </c>
      <c r="D56" s="7">
        <v>2</v>
      </c>
      <c r="E56" s="7" t="s">
        <v>165</v>
      </c>
      <c r="F56" s="9">
        <v>1.67</v>
      </c>
    </row>
    <row r="57" spans="1:6" x14ac:dyDescent="0.35">
      <c r="A57" s="10">
        <v>1017</v>
      </c>
      <c r="B57" s="7">
        <v>1</v>
      </c>
      <c r="C57" s="7" t="s">
        <v>145</v>
      </c>
      <c r="D57" s="7">
        <v>4</v>
      </c>
      <c r="E57" s="7" t="s">
        <v>179</v>
      </c>
      <c r="F57" s="9">
        <v>5.86</v>
      </c>
    </row>
    <row r="58" spans="1:6" x14ac:dyDescent="0.35">
      <c r="A58" s="10">
        <v>1017</v>
      </c>
      <c r="B58" s="7">
        <v>2</v>
      </c>
      <c r="C58" s="7" t="s">
        <v>95</v>
      </c>
      <c r="D58" s="7">
        <v>3</v>
      </c>
      <c r="E58" s="7" t="s">
        <v>197</v>
      </c>
      <c r="F58" s="9">
        <v>3.76</v>
      </c>
    </row>
    <row r="59" spans="1:6" x14ac:dyDescent="0.35">
      <c r="A59" s="10">
        <v>1018</v>
      </c>
      <c r="B59" s="7">
        <v>1</v>
      </c>
      <c r="C59" s="7" t="s">
        <v>120</v>
      </c>
      <c r="D59" s="7">
        <v>5</v>
      </c>
      <c r="E59" s="7" t="s">
        <v>197</v>
      </c>
      <c r="F59" s="9">
        <v>3.76</v>
      </c>
    </row>
    <row r="60" spans="1:6" x14ac:dyDescent="0.35">
      <c r="A60" s="10">
        <v>1018</v>
      </c>
      <c r="B60" s="7">
        <v>2</v>
      </c>
      <c r="C60" s="7" t="s">
        <v>72</v>
      </c>
      <c r="D60" s="7">
        <v>4</v>
      </c>
      <c r="E60" s="7" t="s">
        <v>165</v>
      </c>
      <c r="F60" s="9">
        <v>1.67</v>
      </c>
    </row>
    <row r="61" spans="1:6" x14ac:dyDescent="0.35">
      <c r="A61" s="10">
        <v>1019</v>
      </c>
      <c r="B61" s="7">
        <v>1</v>
      </c>
      <c r="C61" s="7" t="s">
        <v>101</v>
      </c>
      <c r="D61" s="7">
        <v>4</v>
      </c>
      <c r="E61" s="7" t="s">
        <v>179</v>
      </c>
      <c r="F61" s="9">
        <v>5.86</v>
      </c>
    </row>
    <row r="62" spans="1:6" x14ac:dyDescent="0.35">
      <c r="A62" s="10">
        <v>1019</v>
      </c>
      <c r="B62" s="7">
        <v>2</v>
      </c>
      <c r="C62" s="7" t="s">
        <v>83</v>
      </c>
      <c r="D62" s="7">
        <v>4</v>
      </c>
      <c r="E62" s="7" t="s">
        <v>197</v>
      </c>
      <c r="F62" s="9">
        <v>3.76</v>
      </c>
    </row>
    <row r="63" spans="1:6" x14ac:dyDescent="0.35">
      <c r="A63" s="10">
        <v>1019</v>
      </c>
      <c r="B63" s="7">
        <v>3</v>
      </c>
      <c r="C63" s="7" t="s">
        <v>113</v>
      </c>
      <c r="D63" s="7">
        <v>6</v>
      </c>
      <c r="E63" s="7" t="s">
        <v>177</v>
      </c>
      <c r="F63" s="9">
        <v>5.0199999999999996</v>
      </c>
    </row>
    <row r="64" spans="1:6" x14ac:dyDescent="0.35">
      <c r="A64" s="10">
        <v>1020</v>
      </c>
      <c r="B64" s="7">
        <v>1</v>
      </c>
      <c r="C64" s="7" t="s">
        <v>63</v>
      </c>
      <c r="D64" s="7">
        <v>7</v>
      </c>
      <c r="E64" s="7" t="s">
        <v>165</v>
      </c>
      <c r="F64" s="9">
        <v>1.67</v>
      </c>
    </row>
    <row r="65" spans="1:6" x14ac:dyDescent="0.35">
      <c r="A65" s="10">
        <v>1020</v>
      </c>
      <c r="B65" s="7">
        <v>2</v>
      </c>
      <c r="C65" s="7" t="s">
        <v>147</v>
      </c>
      <c r="D65" s="7">
        <v>3</v>
      </c>
      <c r="E65" s="7" t="s">
        <v>179</v>
      </c>
      <c r="F65" s="9">
        <v>5.86</v>
      </c>
    </row>
    <row r="66" spans="1:6" x14ac:dyDescent="0.35">
      <c r="A66" s="10">
        <v>1020</v>
      </c>
      <c r="B66" s="7">
        <v>3</v>
      </c>
      <c r="C66" s="7" t="s">
        <v>153</v>
      </c>
      <c r="D66" s="7">
        <v>4</v>
      </c>
      <c r="E66" s="7" t="s">
        <v>179</v>
      </c>
      <c r="F66" s="9">
        <v>5.86</v>
      </c>
    </row>
    <row r="67" spans="1:6" x14ac:dyDescent="0.35">
      <c r="A67" s="10">
        <v>1020</v>
      </c>
      <c r="B67" s="7">
        <v>4</v>
      </c>
      <c r="C67" s="7" t="s">
        <v>108</v>
      </c>
      <c r="D67" s="7">
        <v>3</v>
      </c>
      <c r="E67" s="7" t="s">
        <v>177</v>
      </c>
      <c r="F67" s="9">
        <v>5.0199999999999996</v>
      </c>
    </row>
    <row r="68" spans="1:6" x14ac:dyDescent="0.35">
      <c r="A68" s="10">
        <v>1021</v>
      </c>
      <c r="B68" s="7">
        <v>1</v>
      </c>
      <c r="C68" s="7" t="s">
        <v>116</v>
      </c>
      <c r="D68" s="7">
        <v>5</v>
      </c>
      <c r="E68" s="7" t="s">
        <v>165</v>
      </c>
      <c r="F68" s="9">
        <v>1.67</v>
      </c>
    </row>
    <row r="69" spans="1:6" x14ac:dyDescent="0.35">
      <c r="A69" s="10">
        <v>1021</v>
      </c>
      <c r="B69" s="7">
        <v>2</v>
      </c>
      <c r="C69" s="7" t="s">
        <v>90</v>
      </c>
      <c r="D69" s="7">
        <v>7</v>
      </c>
      <c r="E69" s="7" t="s">
        <v>165</v>
      </c>
      <c r="F69" s="9">
        <v>1.67</v>
      </c>
    </row>
    <row r="70" spans="1:6" x14ac:dyDescent="0.35">
      <c r="A70" s="10">
        <v>1021</v>
      </c>
      <c r="B70" s="7">
        <v>3</v>
      </c>
      <c r="C70" s="7" t="s">
        <v>120</v>
      </c>
      <c r="D70" s="7">
        <v>2</v>
      </c>
      <c r="E70" s="7" t="s">
        <v>197</v>
      </c>
      <c r="F70" s="9">
        <v>3.76</v>
      </c>
    </row>
    <row r="71" spans="1:6" x14ac:dyDescent="0.35">
      <c r="A71" s="10">
        <v>1021</v>
      </c>
      <c r="B71" s="7">
        <v>4</v>
      </c>
      <c r="C71" s="7" t="s">
        <v>113</v>
      </c>
      <c r="D71" s="7">
        <v>2</v>
      </c>
      <c r="E71" s="7" t="s">
        <v>177</v>
      </c>
      <c r="F71" s="9">
        <v>5.0199999999999996</v>
      </c>
    </row>
    <row r="72" spans="1:6" x14ac:dyDescent="0.35">
      <c r="A72" s="10">
        <v>1022</v>
      </c>
      <c r="B72" s="7">
        <v>1</v>
      </c>
      <c r="C72" s="7" t="s">
        <v>51</v>
      </c>
      <c r="D72" s="7">
        <v>2</v>
      </c>
      <c r="E72" s="7" t="s">
        <v>167</v>
      </c>
      <c r="F72" s="9">
        <v>8.3699999999999992</v>
      </c>
    </row>
    <row r="73" spans="1:6" x14ac:dyDescent="0.35">
      <c r="A73" s="10">
        <v>1022</v>
      </c>
      <c r="B73" s="7">
        <v>2</v>
      </c>
      <c r="C73" s="7" t="s">
        <v>89</v>
      </c>
      <c r="D73" s="7">
        <v>5</v>
      </c>
      <c r="E73" s="7" t="s">
        <v>165</v>
      </c>
      <c r="F73" s="9">
        <v>1.67</v>
      </c>
    </row>
    <row r="74" spans="1:6" x14ac:dyDescent="0.35">
      <c r="A74" s="10">
        <v>1022</v>
      </c>
      <c r="B74" s="7">
        <v>3</v>
      </c>
      <c r="C74" s="7" t="s">
        <v>155</v>
      </c>
      <c r="D74" s="7">
        <v>1</v>
      </c>
      <c r="E74" s="7" t="s">
        <v>167</v>
      </c>
      <c r="F74" s="9">
        <v>8.3699999999999992</v>
      </c>
    </row>
    <row r="75" spans="1:6" x14ac:dyDescent="0.35">
      <c r="A75" s="10">
        <v>1022</v>
      </c>
      <c r="B75" s="7">
        <v>4</v>
      </c>
      <c r="C75" s="7" t="s">
        <v>114</v>
      </c>
      <c r="D75" s="7">
        <v>4</v>
      </c>
      <c r="E75" s="7" t="s">
        <v>197</v>
      </c>
      <c r="F75" s="9">
        <v>3.76</v>
      </c>
    </row>
    <row r="76" spans="1:6" x14ac:dyDescent="0.35">
      <c r="A76" s="10">
        <v>1022</v>
      </c>
      <c r="B76" s="7">
        <v>5</v>
      </c>
      <c r="C76" s="7" t="s">
        <v>65</v>
      </c>
      <c r="D76" s="7">
        <v>5</v>
      </c>
      <c r="E76" s="7" t="s">
        <v>175</v>
      </c>
      <c r="F76" s="9">
        <v>4.18</v>
      </c>
    </row>
    <row r="77" spans="1:6" x14ac:dyDescent="0.35">
      <c r="A77" s="10">
        <v>1023</v>
      </c>
      <c r="B77" s="7">
        <v>1</v>
      </c>
      <c r="C77" s="7" t="s">
        <v>97</v>
      </c>
      <c r="D77" s="7">
        <v>4</v>
      </c>
      <c r="E77" s="7" t="s">
        <v>165</v>
      </c>
      <c r="F77" s="9">
        <v>1.67</v>
      </c>
    </row>
    <row r="78" spans="1:6" x14ac:dyDescent="0.35">
      <c r="A78" s="10">
        <v>1023</v>
      </c>
      <c r="B78" s="7">
        <v>2</v>
      </c>
      <c r="C78" s="7" t="s">
        <v>86</v>
      </c>
      <c r="D78" s="7">
        <v>1</v>
      </c>
      <c r="E78" s="7" t="s">
        <v>177</v>
      </c>
      <c r="F78" s="9">
        <v>5.0199999999999996</v>
      </c>
    </row>
    <row r="79" spans="1:6" x14ac:dyDescent="0.35">
      <c r="A79" s="10">
        <v>1023</v>
      </c>
      <c r="B79" s="7">
        <v>3</v>
      </c>
      <c r="C79" s="7" t="s">
        <v>154</v>
      </c>
      <c r="D79" s="7">
        <v>5</v>
      </c>
      <c r="E79" s="7" t="s">
        <v>167</v>
      </c>
      <c r="F79" s="9">
        <v>8.3699999999999992</v>
      </c>
    </row>
    <row r="80" spans="1:6" x14ac:dyDescent="0.35">
      <c r="A80" s="10">
        <v>1024</v>
      </c>
      <c r="B80" s="7">
        <v>1</v>
      </c>
      <c r="C80" s="7" t="s">
        <v>48</v>
      </c>
      <c r="D80" s="7">
        <v>3</v>
      </c>
      <c r="E80" s="7" t="s">
        <v>165</v>
      </c>
      <c r="F80" s="9">
        <v>1.67</v>
      </c>
    </row>
    <row r="81" spans="1:6" x14ac:dyDescent="0.35">
      <c r="A81" s="10">
        <v>1024</v>
      </c>
      <c r="B81" s="7">
        <v>2</v>
      </c>
      <c r="C81" s="7" t="s">
        <v>130</v>
      </c>
      <c r="D81" s="7">
        <v>6</v>
      </c>
      <c r="E81" s="7" t="s">
        <v>165</v>
      </c>
      <c r="F81" s="9">
        <v>1.67</v>
      </c>
    </row>
    <row r="82" spans="1:6" x14ac:dyDescent="0.35">
      <c r="A82" s="10">
        <v>1025</v>
      </c>
      <c r="B82" s="7">
        <v>1</v>
      </c>
      <c r="C82" s="7" t="s">
        <v>86</v>
      </c>
      <c r="D82" s="7">
        <v>6</v>
      </c>
      <c r="E82" s="7" t="s">
        <v>177</v>
      </c>
      <c r="F82" s="9">
        <v>5.0199999999999996</v>
      </c>
    </row>
    <row r="83" spans="1:6" x14ac:dyDescent="0.35">
      <c r="A83" s="10">
        <v>1025</v>
      </c>
      <c r="B83" s="7">
        <v>2</v>
      </c>
      <c r="C83" s="7" t="s">
        <v>110</v>
      </c>
      <c r="D83" s="7">
        <v>7</v>
      </c>
      <c r="E83" s="7" t="s">
        <v>197</v>
      </c>
      <c r="F83" s="9">
        <v>3.76</v>
      </c>
    </row>
    <row r="84" spans="1:6" x14ac:dyDescent="0.35">
      <c r="A84" s="10">
        <v>1026</v>
      </c>
      <c r="B84" s="7">
        <v>1</v>
      </c>
      <c r="C84" s="7" t="s">
        <v>67</v>
      </c>
      <c r="D84" s="7">
        <v>7</v>
      </c>
      <c r="E84" s="7" t="s">
        <v>179</v>
      </c>
      <c r="F84" s="9">
        <v>5.86</v>
      </c>
    </row>
    <row r="85" spans="1:6" x14ac:dyDescent="0.35">
      <c r="A85" s="10">
        <v>1026</v>
      </c>
      <c r="B85" s="7">
        <v>2</v>
      </c>
      <c r="C85" s="7" t="s">
        <v>121</v>
      </c>
      <c r="D85" s="7">
        <v>1</v>
      </c>
      <c r="E85" s="7" t="s">
        <v>197</v>
      </c>
      <c r="F85" s="9">
        <v>3.76</v>
      </c>
    </row>
    <row r="86" spans="1:6" x14ac:dyDescent="0.35">
      <c r="A86" s="10">
        <v>1026</v>
      </c>
      <c r="B86" s="7">
        <v>3</v>
      </c>
      <c r="C86" s="7" t="s">
        <v>144</v>
      </c>
      <c r="D86" s="7">
        <v>3</v>
      </c>
      <c r="E86" s="7" t="s">
        <v>177</v>
      </c>
      <c r="F86" s="9">
        <v>5.0199999999999996</v>
      </c>
    </row>
    <row r="87" spans="1:6" x14ac:dyDescent="0.35">
      <c r="A87" s="10">
        <v>1026</v>
      </c>
      <c r="B87" s="7">
        <v>4</v>
      </c>
      <c r="C87" s="7" t="s">
        <v>118</v>
      </c>
      <c r="D87" s="7">
        <v>2</v>
      </c>
      <c r="E87" s="7" t="s">
        <v>165</v>
      </c>
      <c r="F87" s="9">
        <v>1.67</v>
      </c>
    </row>
    <row r="88" spans="1:6" x14ac:dyDescent="0.35">
      <c r="A88" s="10">
        <v>1027</v>
      </c>
      <c r="B88" s="7">
        <v>1</v>
      </c>
      <c r="C88" s="7" t="s">
        <v>139</v>
      </c>
      <c r="D88" s="7">
        <v>4</v>
      </c>
      <c r="E88" s="7" t="s">
        <v>177</v>
      </c>
      <c r="F88" s="9">
        <v>5.0199999999999996</v>
      </c>
    </row>
    <row r="89" spans="1:6" x14ac:dyDescent="0.35">
      <c r="A89" s="10">
        <v>1027</v>
      </c>
      <c r="B89" s="7">
        <v>2</v>
      </c>
      <c r="C89" s="7" t="s">
        <v>54</v>
      </c>
      <c r="D89" s="7">
        <v>6</v>
      </c>
      <c r="E89" s="7" t="s">
        <v>167</v>
      </c>
      <c r="F89" s="9">
        <v>8.3699999999999992</v>
      </c>
    </row>
    <row r="90" spans="1:6" x14ac:dyDescent="0.35">
      <c r="A90" s="10">
        <v>1027</v>
      </c>
      <c r="B90" s="7">
        <v>3</v>
      </c>
      <c r="C90" s="7" t="s">
        <v>141</v>
      </c>
      <c r="D90" s="7">
        <v>1</v>
      </c>
      <c r="E90" s="7" t="s">
        <v>170</v>
      </c>
      <c r="F90" s="9">
        <v>6.69</v>
      </c>
    </row>
    <row r="91" spans="1:6" x14ac:dyDescent="0.35">
      <c r="A91" s="10">
        <v>1027</v>
      </c>
      <c r="B91" s="7">
        <v>4</v>
      </c>
      <c r="C91" s="7" t="s">
        <v>51</v>
      </c>
      <c r="D91" s="7">
        <v>7</v>
      </c>
      <c r="E91" s="7" t="s">
        <v>167</v>
      </c>
      <c r="F91" s="9">
        <v>8.3699999999999992</v>
      </c>
    </row>
    <row r="92" spans="1:6" x14ac:dyDescent="0.35">
      <c r="A92" s="10">
        <v>1027</v>
      </c>
      <c r="B92" s="7">
        <v>5</v>
      </c>
      <c r="C92" s="7" t="s">
        <v>145</v>
      </c>
      <c r="D92" s="7">
        <v>4</v>
      </c>
      <c r="E92" s="7" t="s">
        <v>179</v>
      </c>
      <c r="F92" s="9">
        <v>5.86</v>
      </c>
    </row>
    <row r="93" spans="1:6" x14ac:dyDescent="0.35">
      <c r="A93" s="10">
        <v>1028</v>
      </c>
      <c r="B93" s="7">
        <v>1</v>
      </c>
      <c r="C93" s="7" t="s">
        <v>103</v>
      </c>
      <c r="D93" s="7">
        <v>4</v>
      </c>
      <c r="E93" s="7" t="s">
        <v>170</v>
      </c>
      <c r="F93" s="9">
        <v>6.69</v>
      </c>
    </row>
    <row r="94" spans="1:6" x14ac:dyDescent="0.35">
      <c r="A94" s="10">
        <v>1028</v>
      </c>
      <c r="B94" s="7">
        <v>2</v>
      </c>
      <c r="C94" s="7" t="s">
        <v>74</v>
      </c>
      <c r="D94" s="7">
        <v>1</v>
      </c>
      <c r="E94" s="7" t="s">
        <v>165</v>
      </c>
      <c r="F94" s="9">
        <v>1.67</v>
      </c>
    </row>
    <row r="95" spans="1:6" x14ac:dyDescent="0.35">
      <c r="A95" s="10">
        <v>1028</v>
      </c>
      <c r="B95" s="7">
        <v>3</v>
      </c>
      <c r="C95" s="7" t="s">
        <v>70</v>
      </c>
      <c r="D95" s="7">
        <v>5</v>
      </c>
      <c r="E95" s="7" t="s">
        <v>179</v>
      </c>
      <c r="F95" s="9">
        <v>5.86</v>
      </c>
    </row>
    <row r="96" spans="1:6" x14ac:dyDescent="0.35">
      <c r="A96" s="10">
        <v>1029</v>
      </c>
      <c r="B96" s="7">
        <v>1</v>
      </c>
      <c r="C96" s="7" t="s">
        <v>115</v>
      </c>
      <c r="D96" s="7">
        <v>3</v>
      </c>
      <c r="E96" s="7" t="s">
        <v>192</v>
      </c>
      <c r="F96" s="9">
        <v>2.09</v>
      </c>
    </row>
    <row r="97" spans="1:6" x14ac:dyDescent="0.35">
      <c r="A97" s="10">
        <v>1029</v>
      </c>
      <c r="B97" s="7">
        <v>2</v>
      </c>
      <c r="C97" s="7" t="s">
        <v>73</v>
      </c>
      <c r="D97" s="7">
        <v>3</v>
      </c>
      <c r="E97" s="7" t="s">
        <v>165</v>
      </c>
      <c r="F97" s="9">
        <v>1.67</v>
      </c>
    </row>
    <row r="98" spans="1:6" x14ac:dyDescent="0.35">
      <c r="A98" s="10">
        <v>1029</v>
      </c>
      <c r="B98" s="7">
        <v>3</v>
      </c>
      <c r="C98" s="7" t="s">
        <v>66</v>
      </c>
      <c r="D98" s="7">
        <v>2</v>
      </c>
      <c r="E98" s="7" t="s">
        <v>177</v>
      </c>
      <c r="F98" s="9">
        <v>5.0199999999999996</v>
      </c>
    </row>
    <row r="99" spans="1:6" x14ac:dyDescent="0.35">
      <c r="A99" s="10">
        <v>1030</v>
      </c>
      <c r="B99" s="7">
        <v>1</v>
      </c>
      <c r="C99" s="7" t="s">
        <v>75</v>
      </c>
      <c r="D99" s="7">
        <v>5</v>
      </c>
      <c r="E99" s="7" t="s">
        <v>165</v>
      </c>
      <c r="F99" s="9">
        <v>1.67</v>
      </c>
    </row>
    <row r="100" spans="1:6" x14ac:dyDescent="0.35">
      <c r="A100" s="10">
        <v>1030</v>
      </c>
      <c r="B100" s="7">
        <v>2</v>
      </c>
      <c r="C100" s="7" t="s">
        <v>149</v>
      </c>
      <c r="D100" s="7">
        <v>3</v>
      </c>
      <c r="E100" s="7" t="s">
        <v>175</v>
      </c>
      <c r="F100" s="9">
        <v>4.18</v>
      </c>
    </row>
    <row r="101" spans="1:6" x14ac:dyDescent="0.35">
      <c r="A101" s="10">
        <v>1030</v>
      </c>
      <c r="B101" s="7">
        <v>3</v>
      </c>
      <c r="C101" s="7" t="s">
        <v>74</v>
      </c>
      <c r="D101" s="7">
        <v>3</v>
      </c>
      <c r="E101" s="7" t="s">
        <v>165</v>
      </c>
      <c r="F101" s="9">
        <v>1.67</v>
      </c>
    </row>
    <row r="102" spans="1:6" x14ac:dyDescent="0.35">
      <c r="A102" s="10">
        <v>1030</v>
      </c>
      <c r="B102" s="7">
        <v>4</v>
      </c>
      <c r="C102" s="7" t="s">
        <v>93</v>
      </c>
      <c r="D102" s="7">
        <v>6</v>
      </c>
      <c r="E102" s="7" t="s">
        <v>175</v>
      </c>
      <c r="F102" s="9">
        <v>4.18</v>
      </c>
    </row>
    <row r="103" spans="1:6" x14ac:dyDescent="0.35">
      <c r="A103" s="10">
        <v>1030</v>
      </c>
      <c r="B103" s="7">
        <v>5</v>
      </c>
      <c r="C103" s="7" t="s">
        <v>142</v>
      </c>
      <c r="D103" s="7">
        <v>2</v>
      </c>
      <c r="E103" s="7" t="s">
        <v>192</v>
      </c>
      <c r="F103" s="9">
        <v>2.09</v>
      </c>
    </row>
    <row r="104" spans="1:6" x14ac:dyDescent="0.35">
      <c r="A104" s="10">
        <v>1031</v>
      </c>
      <c r="B104" s="7">
        <v>1</v>
      </c>
      <c r="C104" s="7" t="s">
        <v>138</v>
      </c>
      <c r="D104" s="7">
        <v>4</v>
      </c>
      <c r="E104" s="7" t="s">
        <v>175</v>
      </c>
      <c r="F104" s="9">
        <v>4.18</v>
      </c>
    </row>
    <row r="105" spans="1:6" x14ac:dyDescent="0.35">
      <c r="A105" s="10">
        <v>1031</v>
      </c>
      <c r="B105" s="7">
        <v>2</v>
      </c>
      <c r="C105" s="7" t="s">
        <v>106</v>
      </c>
      <c r="D105" s="7">
        <v>3</v>
      </c>
      <c r="E105" s="7" t="s">
        <v>167</v>
      </c>
      <c r="F105" s="9">
        <v>8.3699999999999992</v>
      </c>
    </row>
    <row r="106" spans="1:6" x14ac:dyDescent="0.35">
      <c r="A106" s="10">
        <v>1031</v>
      </c>
      <c r="B106" s="7">
        <v>3</v>
      </c>
      <c r="C106" s="7" t="s">
        <v>92</v>
      </c>
      <c r="D106" s="7">
        <v>5</v>
      </c>
      <c r="E106" s="7" t="s">
        <v>179</v>
      </c>
      <c r="F106" s="9">
        <v>5.86</v>
      </c>
    </row>
    <row r="107" spans="1:6" x14ac:dyDescent="0.35">
      <c r="A107" s="10">
        <v>1031</v>
      </c>
      <c r="B107" s="7">
        <v>4</v>
      </c>
      <c r="C107" s="7" t="s">
        <v>128</v>
      </c>
      <c r="D107" s="7">
        <v>1</v>
      </c>
      <c r="E107" s="7" t="s">
        <v>177</v>
      </c>
      <c r="F107" s="9">
        <v>5.0199999999999996</v>
      </c>
    </row>
    <row r="108" spans="1:6" x14ac:dyDescent="0.35">
      <c r="A108" s="10">
        <v>1031</v>
      </c>
      <c r="B108" s="7">
        <v>5</v>
      </c>
      <c r="C108" s="7" t="s">
        <v>116</v>
      </c>
      <c r="D108" s="7">
        <v>2</v>
      </c>
      <c r="E108" s="7" t="s">
        <v>165</v>
      </c>
      <c r="F108" s="9">
        <v>1.67</v>
      </c>
    </row>
    <row r="109" spans="1:6" x14ac:dyDescent="0.35">
      <c r="A109" s="10">
        <v>1032</v>
      </c>
      <c r="B109" s="7">
        <v>1</v>
      </c>
      <c r="C109" s="7" t="s">
        <v>87</v>
      </c>
      <c r="D109" s="7">
        <v>3</v>
      </c>
      <c r="E109" s="7" t="s">
        <v>165</v>
      </c>
      <c r="F109" s="9">
        <v>1.67</v>
      </c>
    </row>
    <row r="110" spans="1:6" x14ac:dyDescent="0.35">
      <c r="A110" s="10">
        <v>1032</v>
      </c>
      <c r="B110" s="7">
        <v>2</v>
      </c>
      <c r="C110" s="7" t="s">
        <v>77</v>
      </c>
      <c r="D110" s="7">
        <v>6</v>
      </c>
      <c r="E110" s="7" t="s">
        <v>165</v>
      </c>
      <c r="F110" s="9">
        <v>1.67</v>
      </c>
    </row>
    <row r="111" spans="1:6" x14ac:dyDescent="0.35">
      <c r="A111" s="10">
        <v>1032</v>
      </c>
      <c r="B111" s="7">
        <v>3</v>
      </c>
      <c r="C111" s="7" t="s">
        <v>84</v>
      </c>
      <c r="D111" s="7">
        <v>5</v>
      </c>
      <c r="E111" s="7" t="s">
        <v>192</v>
      </c>
      <c r="F111" s="9">
        <v>2.09</v>
      </c>
    </row>
    <row r="112" spans="1:6" x14ac:dyDescent="0.35">
      <c r="A112" s="10">
        <v>1032</v>
      </c>
      <c r="B112" s="7">
        <v>4</v>
      </c>
      <c r="C112" s="7" t="s">
        <v>122</v>
      </c>
      <c r="D112" s="7">
        <v>2</v>
      </c>
      <c r="E112" s="7" t="s">
        <v>167</v>
      </c>
      <c r="F112" s="9">
        <v>8.3699999999999992</v>
      </c>
    </row>
    <row r="113" spans="1:6" x14ac:dyDescent="0.35">
      <c r="A113" s="10">
        <v>1033</v>
      </c>
      <c r="B113" s="7">
        <v>1</v>
      </c>
      <c r="C113" s="7" t="s">
        <v>145</v>
      </c>
      <c r="D113" s="7">
        <v>3</v>
      </c>
      <c r="E113" s="7" t="s">
        <v>179</v>
      </c>
      <c r="F113" s="9">
        <v>5.86</v>
      </c>
    </row>
    <row r="114" spans="1:6" x14ac:dyDescent="0.35">
      <c r="A114" s="10">
        <v>1033</v>
      </c>
      <c r="B114" s="7">
        <v>2</v>
      </c>
      <c r="C114" s="7" t="s">
        <v>110</v>
      </c>
      <c r="D114" s="7">
        <v>5</v>
      </c>
      <c r="E114" s="7" t="s">
        <v>197</v>
      </c>
      <c r="F114" s="9">
        <v>3.76</v>
      </c>
    </row>
    <row r="115" spans="1:6" x14ac:dyDescent="0.35">
      <c r="A115" s="10">
        <v>1033</v>
      </c>
      <c r="B115" s="7">
        <v>3</v>
      </c>
      <c r="C115" s="7" t="s">
        <v>109</v>
      </c>
      <c r="D115" s="7">
        <v>2</v>
      </c>
      <c r="E115" s="7" t="s">
        <v>179</v>
      </c>
      <c r="F115" s="9">
        <v>5.86</v>
      </c>
    </row>
    <row r="116" spans="1:6" x14ac:dyDescent="0.35">
      <c r="A116" s="10">
        <v>1033</v>
      </c>
      <c r="B116" s="7">
        <v>4</v>
      </c>
      <c r="C116" s="7" t="s">
        <v>155</v>
      </c>
      <c r="D116" s="7">
        <v>3</v>
      </c>
      <c r="E116" s="7" t="s">
        <v>167</v>
      </c>
      <c r="F116" s="9">
        <v>8.3699999999999992</v>
      </c>
    </row>
    <row r="117" spans="1:6" x14ac:dyDescent="0.35">
      <c r="A117" s="10">
        <v>1034</v>
      </c>
      <c r="B117" s="7">
        <v>1</v>
      </c>
      <c r="C117" s="7" t="s">
        <v>150</v>
      </c>
      <c r="D117" s="7">
        <v>5</v>
      </c>
      <c r="E117" s="7" t="s">
        <v>167</v>
      </c>
      <c r="F117" s="9">
        <v>8.3699999999999992</v>
      </c>
    </row>
    <row r="118" spans="1:6" x14ac:dyDescent="0.35">
      <c r="A118" s="10">
        <v>1034</v>
      </c>
      <c r="B118" s="7">
        <v>2</v>
      </c>
      <c r="C118" s="7" t="s">
        <v>149</v>
      </c>
      <c r="D118" s="7">
        <v>1</v>
      </c>
      <c r="E118" s="7" t="s">
        <v>175</v>
      </c>
      <c r="F118" s="9">
        <v>4.18</v>
      </c>
    </row>
    <row r="119" spans="1:6" x14ac:dyDescent="0.35">
      <c r="A119" s="10">
        <v>1034</v>
      </c>
      <c r="B119" s="7">
        <v>3</v>
      </c>
      <c r="C119" s="7" t="s">
        <v>140</v>
      </c>
      <c r="D119" s="7">
        <v>5</v>
      </c>
      <c r="E119" s="7" t="s">
        <v>167</v>
      </c>
      <c r="F119" s="9">
        <v>8.3699999999999992</v>
      </c>
    </row>
    <row r="120" spans="1:6" x14ac:dyDescent="0.35">
      <c r="A120" s="10">
        <v>1035</v>
      </c>
      <c r="B120" s="7">
        <v>1</v>
      </c>
      <c r="C120" s="7" t="s">
        <v>147</v>
      </c>
      <c r="D120" s="7">
        <v>3</v>
      </c>
      <c r="E120" s="7" t="s">
        <v>179</v>
      </c>
      <c r="F120" s="9">
        <v>5.86</v>
      </c>
    </row>
    <row r="121" spans="1:6" x14ac:dyDescent="0.35">
      <c r="A121" s="10">
        <v>1035</v>
      </c>
      <c r="B121" s="7">
        <v>2</v>
      </c>
      <c r="C121" s="7" t="s">
        <v>101</v>
      </c>
      <c r="D121" s="7">
        <v>5</v>
      </c>
      <c r="E121" s="7" t="s">
        <v>179</v>
      </c>
      <c r="F121" s="9">
        <v>5.86</v>
      </c>
    </row>
    <row r="122" spans="1:6" x14ac:dyDescent="0.35">
      <c r="A122" s="10">
        <v>1035</v>
      </c>
      <c r="B122" s="7">
        <v>3</v>
      </c>
      <c r="C122" s="7" t="s">
        <v>123</v>
      </c>
      <c r="D122" s="7">
        <v>5</v>
      </c>
      <c r="E122" s="7" t="s">
        <v>179</v>
      </c>
      <c r="F122" s="9">
        <v>5.86</v>
      </c>
    </row>
    <row r="123" spans="1:6" x14ac:dyDescent="0.35">
      <c r="A123" s="10">
        <v>1035</v>
      </c>
      <c r="B123" s="7">
        <v>4</v>
      </c>
      <c r="C123" s="7" t="s">
        <v>92</v>
      </c>
      <c r="D123" s="7">
        <v>6</v>
      </c>
      <c r="E123" s="7" t="s">
        <v>179</v>
      </c>
      <c r="F123" s="9">
        <v>5.86</v>
      </c>
    </row>
    <row r="124" spans="1:6" x14ac:dyDescent="0.35">
      <c r="A124" s="10">
        <v>1035</v>
      </c>
      <c r="B124" s="7">
        <v>5</v>
      </c>
      <c r="C124" s="7" t="s">
        <v>146</v>
      </c>
      <c r="D124" s="7">
        <v>1</v>
      </c>
      <c r="E124" s="7" t="s">
        <v>175</v>
      </c>
      <c r="F124" s="9">
        <v>4.18</v>
      </c>
    </row>
    <row r="125" spans="1:6" x14ac:dyDescent="0.35">
      <c r="A125" s="10">
        <v>1036</v>
      </c>
      <c r="B125" s="7">
        <v>1</v>
      </c>
      <c r="C125" s="7" t="s">
        <v>78</v>
      </c>
      <c r="D125" s="7">
        <v>6</v>
      </c>
      <c r="E125" s="7" t="s">
        <v>179</v>
      </c>
      <c r="F125" s="9">
        <v>5.86</v>
      </c>
    </row>
    <row r="126" spans="1:6" x14ac:dyDescent="0.35">
      <c r="A126" s="10">
        <v>1036</v>
      </c>
      <c r="B126" s="7">
        <v>2</v>
      </c>
      <c r="C126" s="7" t="s">
        <v>74</v>
      </c>
      <c r="D126" s="7">
        <v>3</v>
      </c>
      <c r="E126" s="7" t="s">
        <v>165</v>
      </c>
      <c r="F126" s="9">
        <v>1.67</v>
      </c>
    </row>
    <row r="127" spans="1:6" x14ac:dyDescent="0.35">
      <c r="A127" s="10">
        <v>1037</v>
      </c>
      <c r="B127" s="7">
        <v>1</v>
      </c>
      <c r="C127" s="7" t="s">
        <v>118</v>
      </c>
      <c r="D127" s="7">
        <v>5</v>
      </c>
      <c r="E127" s="7" t="s">
        <v>165</v>
      </c>
      <c r="F127" s="9">
        <v>1.67</v>
      </c>
    </row>
    <row r="128" spans="1:6" x14ac:dyDescent="0.35">
      <c r="A128" s="10">
        <v>1037</v>
      </c>
      <c r="B128" s="7">
        <v>2</v>
      </c>
      <c r="C128" s="7" t="s">
        <v>145</v>
      </c>
      <c r="D128" s="7">
        <v>4</v>
      </c>
      <c r="E128" s="7" t="s">
        <v>179</v>
      </c>
      <c r="F128" s="9">
        <v>5.86</v>
      </c>
    </row>
    <row r="129" spans="1:6" x14ac:dyDescent="0.35">
      <c r="A129" s="10">
        <v>1038</v>
      </c>
      <c r="B129" s="7">
        <v>1</v>
      </c>
      <c r="C129" s="7" t="s">
        <v>118</v>
      </c>
      <c r="D129" s="7">
        <v>7</v>
      </c>
      <c r="E129" s="7" t="s">
        <v>165</v>
      </c>
      <c r="F129" s="9">
        <v>1.67</v>
      </c>
    </row>
    <row r="130" spans="1:6" x14ac:dyDescent="0.35">
      <c r="A130" s="10">
        <v>1038</v>
      </c>
      <c r="B130" s="7">
        <v>2</v>
      </c>
      <c r="C130" s="7" t="s">
        <v>138</v>
      </c>
      <c r="D130" s="7">
        <v>5</v>
      </c>
      <c r="E130" s="7" t="s">
        <v>175</v>
      </c>
      <c r="F130" s="9">
        <v>4.18</v>
      </c>
    </row>
    <row r="131" spans="1:6" x14ac:dyDescent="0.35">
      <c r="A131" s="10">
        <v>1038</v>
      </c>
      <c r="B131" s="7">
        <v>3</v>
      </c>
      <c r="C131" s="7" t="s">
        <v>81</v>
      </c>
      <c r="D131" s="7">
        <v>3</v>
      </c>
      <c r="E131" s="7" t="s">
        <v>177</v>
      </c>
      <c r="F131" s="9">
        <v>5.0199999999999996</v>
      </c>
    </row>
    <row r="132" spans="1:6" x14ac:dyDescent="0.35">
      <c r="A132" s="10">
        <v>1038</v>
      </c>
      <c r="B132" s="7">
        <v>4</v>
      </c>
      <c r="C132" s="7" t="s">
        <v>71</v>
      </c>
      <c r="D132" s="7">
        <v>6</v>
      </c>
      <c r="E132" s="7" t="s">
        <v>165</v>
      </c>
      <c r="F132" s="9">
        <v>1.67</v>
      </c>
    </row>
    <row r="133" spans="1:6" x14ac:dyDescent="0.35">
      <c r="A133" s="10">
        <v>1039</v>
      </c>
      <c r="B133" s="7">
        <v>1</v>
      </c>
      <c r="C133" s="7" t="s">
        <v>75</v>
      </c>
      <c r="D133" s="7">
        <v>2</v>
      </c>
      <c r="E133" s="7" t="s">
        <v>165</v>
      </c>
      <c r="F133" s="9">
        <v>1.67</v>
      </c>
    </row>
    <row r="134" spans="1:6" x14ac:dyDescent="0.35">
      <c r="A134" s="10">
        <v>1039</v>
      </c>
      <c r="B134" s="7">
        <v>2</v>
      </c>
      <c r="C134" s="7" t="s">
        <v>67</v>
      </c>
      <c r="D134" s="7">
        <v>4</v>
      </c>
      <c r="E134" s="7" t="s">
        <v>179</v>
      </c>
      <c r="F134" s="9">
        <v>5.86</v>
      </c>
    </row>
    <row r="135" spans="1:6" x14ac:dyDescent="0.35">
      <c r="A135" s="10">
        <v>1039</v>
      </c>
      <c r="B135" s="7">
        <v>3</v>
      </c>
      <c r="C135" s="7" t="s">
        <v>83</v>
      </c>
      <c r="D135" s="7">
        <v>3</v>
      </c>
      <c r="E135" s="7" t="s">
        <v>197</v>
      </c>
      <c r="F135" s="9">
        <v>3.76</v>
      </c>
    </row>
    <row r="136" spans="1:6" x14ac:dyDescent="0.35">
      <c r="A136" s="10">
        <v>1039</v>
      </c>
      <c r="B136" s="7">
        <v>4</v>
      </c>
      <c r="C136" s="7" t="s">
        <v>110</v>
      </c>
      <c r="D136" s="7">
        <v>6</v>
      </c>
      <c r="E136" s="7" t="s">
        <v>197</v>
      </c>
      <c r="F136" s="9">
        <v>3.76</v>
      </c>
    </row>
    <row r="137" spans="1:6" x14ac:dyDescent="0.35">
      <c r="A137" s="10">
        <v>1039</v>
      </c>
      <c r="B137" s="7">
        <v>5</v>
      </c>
      <c r="C137" s="7" t="s">
        <v>57</v>
      </c>
      <c r="D137" s="7">
        <v>7</v>
      </c>
      <c r="E137" s="7" t="s">
        <v>170</v>
      </c>
      <c r="F137" s="9">
        <v>6.69</v>
      </c>
    </row>
    <row r="138" spans="1:6" x14ac:dyDescent="0.35">
      <c r="A138" s="10">
        <v>1040</v>
      </c>
      <c r="B138" s="7">
        <v>1</v>
      </c>
      <c r="C138" s="7" t="s">
        <v>84</v>
      </c>
      <c r="D138" s="7">
        <v>3</v>
      </c>
      <c r="E138" s="7" t="s">
        <v>192</v>
      </c>
      <c r="F138" s="9">
        <v>2.09</v>
      </c>
    </row>
    <row r="139" spans="1:6" x14ac:dyDescent="0.35">
      <c r="A139" s="10">
        <v>1040</v>
      </c>
      <c r="B139" s="7">
        <v>2</v>
      </c>
      <c r="C139" s="7" t="s">
        <v>126</v>
      </c>
      <c r="D139" s="7">
        <v>3</v>
      </c>
      <c r="E139" s="7" t="s">
        <v>192</v>
      </c>
      <c r="F139" s="9">
        <v>2.09</v>
      </c>
    </row>
    <row r="140" spans="1:6" x14ac:dyDescent="0.35">
      <c r="A140" s="10">
        <v>1040</v>
      </c>
      <c r="B140" s="7">
        <v>3</v>
      </c>
      <c r="C140" s="7" t="s">
        <v>95</v>
      </c>
      <c r="D140" s="7">
        <v>6</v>
      </c>
      <c r="E140" s="7" t="s">
        <v>197</v>
      </c>
      <c r="F140" s="9">
        <v>3.76</v>
      </c>
    </row>
    <row r="141" spans="1:6" x14ac:dyDescent="0.35">
      <c r="A141" s="10">
        <v>1040</v>
      </c>
      <c r="B141" s="7">
        <v>4</v>
      </c>
      <c r="C141" s="7" t="s">
        <v>67</v>
      </c>
      <c r="D141" s="7">
        <v>6</v>
      </c>
      <c r="E141" s="7" t="s">
        <v>179</v>
      </c>
      <c r="F141" s="9">
        <v>5.86</v>
      </c>
    </row>
    <row r="142" spans="1:6" x14ac:dyDescent="0.35">
      <c r="A142" s="10">
        <v>1041</v>
      </c>
      <c r="B142" s="7">
        <v>1</v>
      </c>
      <c r="C142" s="7" t="s">
        <v>155</v>
      </c>
      <c r="D142" s="7">
        <v>1</v>
      </c>
      <c r="E142" s="7" t="s">
        <v>167</v>
      </c>
      <c r="F142" s="9">
        <v>8.3699999999999992</v>
      </c>
    </row>
    <row r="143" spans="1:6" x14ac:dyDescent="0.35">
      <c r="A143" s="10">
        <v>1041</v>
      </c>
      <c r="B143" s="7">
        <v>2</v>
      </c>
      <c r="C143" s="7" t="s">
        <v>141</v>
      </c>
      <c r="D143" s="7">
        <v>5</v>
      </c>
      <c r="E143" s="7" t="s">
        <v>170</v>
      </c>
      <c r="F143" s="9">
        <v>6.69</v>
      </c>
    </row>
    <row r="144" spans="1:6" x14ac:dyDescent="0.35">
      <c r="A144" s="10">
        <v>1041</v>
      </c>
      <c r="B144" s="7">
        <v>3</v>
      </c>
      <c r="C144" s="7" t="s">
        <v>143</v>
      </c>
      <c r="D144" s="7">
        <v>7</v>
      </c>
      <c r="E144" s="7" t="s">
        <v>167</v>
      </c>
      <c r="F144" s="9">
        <v>8.3699999999999992</v>
      </c>
    </row>
    <row r="145" spans="1:6" x14ac:dyDescent="0.35">
      <c r="A145" s="10">
        <v>1041</v>
      </c>
      <c r="B145" s="7">
        <v>4</v>
      </c>
      <c r="C145" s="7" t="s">
        <v>127</v>
      </c>
      <c r="D145" s="7">
        <v>6</v>
      </c>
      <c r="E145" s="7" t="s">
        <v>177</v>
      </c>
      <c r="F145" s="9">
        <v>5.0199999999999996</v>
      </c>
    </row>
    <row r="146" spans="1:6" x14ac:dyDescent="0.35">
      <c r="A146" s="10">
        <v>1041</v>
      </c>
      <c r="B146" s="7">
        <v>5</v>
      </c>
      <c r="C146" s="7" t="s">
        <v>90</v>
      </c>
      <c r="D146" s="7">
        <v>6</v>
      </c>
      <c r="E146" s="7" t="s">
        <v>165</v>
      </c>
      <c r="F146" s="9">
        <v>1.67</v>
      </c>
    </row>
    <row r="147" spans="1:6" x14ac:dyDescent="0.35">
      <c r="A147" s="10">
        <v>1042</v>
      </c>
      <c r="B147" s="7">
        <v>1</v>
      </c>
      <c r="C147" s="7" t="s">
        <v>112</v>
      </c>
      <c r="D147" s="7">
        <v>6</v>
      </c>
      <c r="E147" s="7" t="s">
        <v>179</v>
      </c>
      <c r="F147" s="9">
        <v>5.86</v>
      </c>
    </row>
    <row r="148" spans="1:6" x14ac:dyDescent="0.35">
      <c r="A148" s="10">
        <v>1042</v>
      </c>
      <c r="B148" s="7">
        <v>2</v>
      </c>
      <c r="C148" s="7" t="s">
        <v>123</v>
      </c>
      <c r="D148" s="7">
        <v>2</v>
      </c>
      <c r="E148" s="7" t="s">
        <v>179</v>
      </c>
      <c r="F148" s="9">
        <v>5.86</v>
      </c>
    </row>
    <row r="149" spans="1:6" x14ac:dyDescent="0.35">
      <c r="A149" s="10">
        <v>1043</v>
      </c>
      <c r="B149" s="7">
        <v>1</v>
      </c>
      <c r="C149" s="7" t="s">
        <v>148</v>
      </c>
      <c r="D149" s="7">
        <v>2</v>
      </c>
      <c r="E149" s="7" t="s">
        <v>192</v>
      </c>
      <c r="F149" s="9">
        <v>2.09</v>
      </c>
    </row>
    <row r="150" spans="1:6" x14ac:dyDescent="0.35">
      <c r="A150" s="10">
        <v>1043</v>
      </c>
      <c r="B150" s="7">
        <v>2</v>
      </c>
      <c r="C150" s="7" t="s">
        <v>136</v>
      </c>
      <c r="D150" s="7">
        <v>4</v>
      </c>
      <c r="E150" s="7" t="s">
        <v>177</v>
      </c>
      <c r="F150" s="9">
        <v>5.0199999999999996</v>
      </c>
    </row>
    <row r="151" spans="1:6" x14ac:dyDescent="0.35">
      <c r="A151" s="10">
        <v>1043</v>
      </c>
      <c r="B151" s="7">
        <v>3</v>
      </c>
      <c r="C151" s="7" t="s">
        <v>99</v>
      </c>
      <c r="D151" s="7">
        <v>7</v>
      </c>
      <c r="E151" s="7" t="s">
        <v>165</v>
      </c>
      <c r="F151" s="9">
        <v>1.67</v>
      </c>
    </row>
    <row r="152" spans="1:6" x14ac:dyDescent="0.35">
      <c r="A152" s="10">
        <v>1043</v>
      </c>
      <c r="B152" s="7">
        <v>4</v>
      </c>
      <c r="C152" s="7" t="s">
        <v>75</v>
      </c>
      <c r="D152" s="7">
        <v>5</v>
      </c>
      <c r="E152" s="7" t="s">
        <v>165</v>
      </c>
      <c r="F152" s="9">
        <v>1.67</v>
      </c>
    </row>
    <row r="153" spans="1:6" x14ac:dyDescent="0.35">
      <c r="A153" s="10">
        <v>1043</v>
      </c>
      <c r="B153" s="7">
        <v>5</v>
      </c>
      <c r="C153" s="7" t="s">
        <v>63</v>
      </c>
      <c r="D153" s="7">
        <v>4</v>
      </c>
      <c r="E153" s="7" t="s">
        <v>165</v>
      </c>
      <c r="F153" s="9">
        <v>1.67</v>
      </c>
    </row>
    <row r="154" spans="1:6" x14ac:dyDescent="0.35">
      <c r="A154" s="10">
        <v>1044</v>
      </c>
      <c r="B154" s="7">
        <v>1</v>
      </c>
      <c r="C154" s="7" t="s">
        <v>86</v>
      </c>
      <c r="D154" s="7">
        <v>6</v>
      </c>
      <c r="E154" s="7" t="s">
        <v>177</v>
      </c>
      <c r="F154" s="9">
        <v>5.0199999999999996</v>
      </c>
    </row>
    <row r="155" spans="1:6" x14ac:dyDescent="0.35">
      <c r="A155" s="10">
        <v>1044</v>
      </c>
      <c r="B155" s="7">
        <v>2</v>
      </c>
      <c r="C155" s="7" t="s">
        <v>71</v>
      </c>
      <c r="D155" s="7">
        <v>4</v>
      </c>
      <c r="E155" s="7" t="s">
        <v>165</v>
      </c>
      <c r="F155" s="9">
        <v>1.67</v>
      </c>
    </row>
    <row r="156" spans="1:6" x14ac:dyDescent="0.35">
      <c r="A156" s="10">
        <v>1044</v>
      </c>
      <c r="B156" s="7">
        <v>3</v>
      </c>
      <c r="C156" s="7" t="s">
        <v>157</v>
      </c>
      <c r="D156" s="7">
        <v>4</v>
      </c>
      <c r="E156" s="7" t="s">
        <v>165</v>
      </c>
      <c r="F156" s="9">
        <v>1.67</v>
      </c>
    </row>
    <row r="157" spans="1:6" x14ac:dyDescent="0.35">
      <c r="A157" s="10">
        <v>1044</v>
      </c>
      <c r="B157" s="7">
        <v>4</v>
      </c>
      <c r="C157" s="7" t="s">
        <v>134</v>
      </c>
      <c r="D157" s="7">
        <v>7</v>
      </c>
      <c r="E157" s="7" t="s">
        <v>177</v>
      </c>
      <c r="F157" s="9">
        <v>5.0199999999999996</v>
      </c>
    </row>
    <row r="158" spans="1:6" x14ac:dyDescent="0.35">
      <c r="A158" s="10">
        <v>1045</v>
      </c>
      <c r="B158" s="7">
        <v>1</v>
      </c>
      <c r="C158" s="7" t="s">
        <v>91</v>
      </c>
      <c r="D158" s="7">
        <v>2</v>
      </c>
      <c r="E158" s="7" t="s">
        <v>170</v>
      </c>
      <c r="F158" s="9">
        <v>6.69</v>
      </c>
    </row>
    <row r="159" spans="1:6" x14ac:dyDescent="0.35">
      <c r="A159" s="10">
        <v>1045</v>
      </c>
      <c r="B159" s="7">
        <v>2</v>
      </c>
      <c r="C159" s="7" t="s">
        <v>105</v>
      </c>
      <c r="D159" s="7">
        <v>1</v>
      </c>
      <c r="E159" s="7" t="s">
        <v>165</v>
      </c>
      <c r="F159" s="9">
        <v>1.67</v>
      </c>
    </row>
    <row r="160" spans="1:6" x14ac:dyDescent="0.35">
      <c r="A160" s="10">
        <v>1045</v>
      </c>
      <c r="B160" s="7">
        <v>3</v>
      </c>
      <c r="C160" s="7" t="s">
        <v>138</v>
      </c>
      <c r="D160" s="7">
        <v>7</v>
      </c>
      <c r="E160" s="7" t="s">
        <v>175</v>
      </c>
      <c r="F160" s="9">
        <v>4.18</v>
      </c>
    </row>
    <row r="161" spans="1:6" x14ac:dyDescent="0.35">
      <c r="A161" s="10">
        <v>1045</v>
      </c>
      <c r="B161" s="7">
        <v>4</v>
      </c>
      <c r="C161" s="7" t="s">
        <v>101</v>
      </c>
      <c r="D161" s="7">
        <v>4</v>
      </c>
      <c r="E161" s="7" t="s">
        <v>179</v>
      </c>
      <c r="F161" s="9">
        <v>5.86</v>
      </c>
    </row>
    <row r="162" spans="1:6" x14ac:dyDescent="0.35">
      <c r="A162" s="10">
        <v>1045</v>
      </c>
      <c r="B162" s="7">
        <v>5</v>
      </c>
      <c r="C162" s="7" t="s">
        <v>139</v>
      </c>
      <c r="D162" s="7">
        <v>1</v>
      </c>
      <c r="E162" s="7" t="s">
        <v>177</v>
      </c>
      <c r="F162" s="9">
        <v>5.0199999999999996</v>
      </c>
    </row>
    <row r="163" spans="1:6" x14ac:dyDescent="0.35">
      <c r="A163" s="10">
        <v>1046</v>
      </c>
      <c r="B163" s="7">
        <v>1</v>
      </c>
      <c r="C163" s="7" t="s">
        <v>149</v>
      </c>
      <c r="D163" s="7">
        <v>4</v>
      </c>
      <c r="E163" s="7" t="s">
        <v>175</v>
      </c>
      <c r="F163" s="9">
        <v>4.18</v>
      </c>
    </row>
    <row r="164" spans="1:6" x14ac:dyDescent="0.35">
      <c r="A164" s="10">
        <v>1046</v>
      </c>
      <c r="B164" s="7">
        <v>2</v>
      </c>
      <c r="C164" s="7" t="s">
        <v>87</v>
      </c>
      <c r="D164" s="7">
        <v>4</v>
      </c>
      <c r="E164" s="7" t="s">
        <v>165</v>
      </c>
      <c r="F164" s="9">
        <v>1.67</v>
      </c>
    </row>
    <row r="165" spans="1:6" x14ac:dyDescent="0.35">
      <c r="A165" s="10">
        <v>1047</v>
      </c>
      <c r="B165" s="7">
        <v>1</v>
      </c>
      <c r="C165" s="7" t="s">
        <v>64</v>
      </c>
      <c r="D165" s="7">
        <v>6</v>
      </c>
      <c r="E165" s="7" t="s">
        <v>167</v>
      </c>
      <c r="F165" s="9">
        <v>8.3699999999999992</v>
      </c>
    </row>
    <row r="166" spans="1:6" x14ac:dyDescent="0.35">
      <c r="A166" s="10">
        <v>1047</v>
      </c>
      <c r="B166" s="7">
        <v>2</v>
      </c>
      <c r="C166" s="7" t="s">
        <v>157</v>
      </c>
      <c r="D166" s="7">
        <v>7</v>
      </c>
      <c r="E166" s="7" t="s">
        <v>165</v>
      </c>
      <c r="F166" s="9">
        <v>1.67</v>
      </c>
    </row>
    <row r="167" spans="1:6" x14ac:dyDescent="0.35">
      <c r="A167" s="10">
        <v>1047</v>
      </c>
      <c r="B167" s="7">
        <v>3</v>
      </c>
      <c r="C167" s="7" t="s">
        <v>73</v>
      </c>
      <c r="D167" s="7">
        <v>5</v>
      </c>
      <c r="E167" s="7" t="s">
        <v>165</v>
      </c>
      <c r="F167" s="9">
        <v>1.67</v>
      </c>
    </row>
    <row r="168" spans="1:6" x14ac:dyDescent="0.35">
      <c r="A168" s="10">
        <v>1047</v>
      </c>
      <c r="B168" s="7">
        <v>4</v>
      </c>
      <c r="C168" s="7" t="s">
        <v>107</v>
      </c>
      <c r="D168" s="7">
        <v>7</v>
      </c>
      <c r="E168" s="7" t="s">
        <v>165</v>
      </c>
      <c r="F168" s="9">
        <v>1.67</v>
      </c>
    </row>
    <row r="169" spans="1:6" x14ac:dyDescent="0.35">
      <c r="A169" s="10">
        <v>1048</v>
      </c>
      <c r="B169" s="7">
        <v>1</v>
      </c>
      <c r="C169" s="7" t="s">
        <v>118</v>
      </c>
      <c r="D169" s="7">
        <v>4</v>
      </c>
      <c r="E169" s="7" t="s">
        <v>165</v>
      </c>
      <c r="F169" s="9">
        <v>1.67</v>
      </c>
    </row>
    <row r="170" spans="1:6" x14ac:dyDescent="0.35">
      <c r="A170" s="10">
        <v>1048</v>
      </c>
      <c r="B170" s="7">
        <v>2</v>
      </c>
      <c r="C170" s="7" t="s">
        <v>136</v>
      </c>
      <c r="D170" s="7">
        <v>5</v>
      </c>
      <c r="E170" s="7" t="s">
        <v>177</v>
      </c>
      <c r="F170" s="9">
        <v>5.0199999999999996</v>
      </c>
    </row>
    <row r="171" spans="1:6" x14ac:dyDescent="0.35">
      <c r="A171" s="10">
        <v>1048</v>
      </c>
      <c r="B171" s="7">
        <v>3</v>
      </c>
      <c r="C171" s="7" t="s">
        <v>82</v>
      </c>
      <c r="D171" s="7">
        <v>7</v>
      </c>
      <c r="E171" s="7" t="s">
        <v>179</v>
      </c>
      <c r="F171" s="9">
        <v>5.86</v>
      </c>
    </row>
    <row r="172" spans="1:6" x14ac:dyDescent="0.35">
      <c r="A172" s="10">
        <v>1049</v>
      </c>
      <c r="B172" s="7">
        <v>1</v>
      </c>
      <c r="C172" s="7" t="s">
        <v>86</v>
      </c>
      <c r="D172" s="7">
        <v>3</v>
      </c>
      <c r="E172" s="7" t="s">
        <v>177</v>
      </c>
      <c r="F172" s="9">
        <v>5.0199999999999996</v>
      </c>
    </row>
    <row r="173" spans="1:6" x14ac:dyDescent="0.35">
      <c r="A173" s="10">
        <v>1049</v>
      </c>
      <c r="B173" s="7">
        <v>2</v>
      </c>
      <c r="C173" s="7" t="s">
        <v>154</v>
      </c>
      <c r="D173" s="7">
        <v>1</v>
      </c>
      <c r="E173" s="7" t="s">
        <v>167</v>
      </c>
      <c r="F173" s="9">
        <v>8.3699999999999992</v>
      </c>
    </row>
    <row r="174" spans="1:6" x14ac:dyDescent="0.35">
      <c r="A174" s="10">
        <v>1049</v>
      </c>
      <c r="B174" s="7">
        <v>3</v>
      </c>
      <c r="C174" s="7" t="s">
        <v>48</v>
      </c>
      <c r="D174" s="7">
        <v>7</v>
      </c>
      <c r="E174" s="7" t="s">
        <v>165</v>
      </c>
      <c r="F174" s="9">
        <v>1.67</v>
      </c>
    </row>
    <row r="175" spans="1:6" x14ac:dyDescent="0.35">
      <c r="A175" s="10">
        <v>1050</v>
      </c>
      <c r="B175" s="7">
        <v>1</v>
      </c>
      <c r="C175" s="7" t="s">
        <v>154</v>
      </c>
      <c r="D175" s="7">
        <v>6</v>
      </c>
      <c r="E175" s="7" t="s">
        <v>167</v>
      </c>
      <c r="F175" s="9">
        <v>8.3699999999999992</v>
      </c>
    </row>
    <row r="176" spans="1:6" x14ac:dyDescent="0.35">
      <c r="A176" s="10">
        <v>1050</v>
      </c>
      <c r="B176" s="7">
        <v>2</v>
      </c>
      <c r="C176" s="7" t="s">
        <v>107</v>
      </c>
      <c r="D176" s="7">
        <v>7</v>
      </c>
      <c r="E176" s="7" t="s">
        <v>165</v>
      </c>
      <c r="F176" s="9">
        <v>1.67</v>
      </c>
    </row>
    <row r="177" spans="1:6" x14ac:dyDescent="0.35">
      <c r="A177" s="10">
        <v>1051</v>
      </c>
      <c r="B177" s="7">
        <v>1</v>
      </c>
      <c r="C177" s="7" t="s">
        <v>80</v>
      </c>
      <c r="D177" s="7">
        <v>6</v>
      </c>
      <c r="E177" s="7" t="s">
        <v>165</v>
      </c>
      <c r="F177" s="9">
        <v>1.67</v>
      </c>
    </row>
    <row r="178" spans="1:6" x14ac:dyDescent="0.35">
      <c r="A178" s="10">
        <v>1051</v>
      </c>
      <c r="B178" s="7">
        <v>2</v>
      </c>
      <c r="C178" s="7" t="s">
        <v>54</v>
      </c>
      <c r="D178" s="7">
        <v>4</v>
      </c>
      <c r="E178" s="7" t="s">
        <v>167</v>
      </c>
      <c r="F178" s="9">
        <v>8.3699999999999992</v>
      </c>
    </row>
    <row r="179" spans="1:6" x14ac:dyDescent="0.35">
      <c r="A179" s="10">
        <v>1052</v>
      </c>
      <c r="B179" s="7">
        <v>1</v>
      </c>
      <c r="C179" s="7" t="s">
        <v>145</v>
      </c>
      <c r="D179" s="7">
        <v>3</v>
      </c>
      <c r="E179" s="7" t="s">
        <v>179</v>
      </c>
      <c r="F179" s="9">
        <v>5.86</v>
      </c>
    </row>
    <row r="180" spans="1:6" x14ac:dyDescent="0.35">
      <c r="A180" s="10">
        <v>1052</v>
      </c>
      <c r="B180" s="7">
        <v>2</v>
      </c>
      <c r="C180" s="7" t="s">
        <v>96</v>
      </c>
      <c r="D180" s="7">
        <v>4</v>
      </c>
      <c r="E180" s="7" t="s">
        <v>179</v>
      </c>
      <c r="F180" s="9">
        <v>5.86</v>
      </c>
    </row>
    <row r="181" spans="1:6" x14ac:dyDescent="0.35">
      <c r="A181" s="10">
        <v>1053</v>
      </c>
      <c r="B181" s="7">
        <v>1</v>
      </c>
      <c r="C181" s="7" t="s">
        <v>60</v>
      </c>
      <c r="D181" s="7">
        <v>6</v>
      </c>
      <c r="E181" s="7" t="s">
        <v>165</v>
      </c>
      <c r="F181" s="9">
        <v>1.67</v>
      </c>
    </row>
    <row r="182" spans="1:6" x14ac:dyDescent="0.35">
      <c r="A182" s="10">
        <v>1053</v>
      </c>
      <c r="B182" s="7">
        <v>2</v>
      </c>
      <c r="C182" s="7" t="s">
        <v>51</v>
      </c>
      <c r="D182" s="7">
        <v>6</v>
      </c>
      <c r="E182" s="7" t="s">
        <v>167</v>
      </c>
      <c r="F182" s="9">
        <v>8.3699999999999992</v>
      </c>
    </row>
    <row r="183" spans="1:6" x14ac:dyDescent="0.35">
      <c r="A183" s="10">
        <v>1053</v>
      </c>
      <c r="B183" s="7">
        <v>3</v>
      </c>
      <c r="C183" s="7" t="s">
        <v>134</v>
      </c>
      <c r="D183" s="7">
        <v>4</v>
      </c>
      <c r="E183" s="7" t="s">
        <v>177</v>
      </c>
      <c r="F183" s="9">
        <v>5.0199999999999996</v>
      </c>
    </row>
    <row r="184" spans="1:6" x14ac:dyDescent="0.35">
      <c r="A184" s="10">
        <v>1053</v>
      </c>
      <c r="B184" s="7">
        <v>4</v>
      </c>
      <c r="C184" s="7" t="s">
        <v>121</v>
      </c>
      <c r="D184" s="7">
        <v>5</v>
      </c>
      <c r="E184" s="7" t="s">
        <v>197</v>
      </c>
      <c r="F184" s="9">
        <v>3.76</v>
      </c>
    </row>
    <row r="185" spans="1:6" x14ac:dyDescent="0.35">
      <c r="A185" s="10">
        <v>1054</v>
      </c>
      <c r="B185" s="7">
        <v>1</v>
      </c>
      <c r="C185" s="7" t="s">
        <v>133</v>
      </c>
      <c r="D185" s="7">
        <v>3</v>
      </c>
      <c r="E185" s="7" t="s">
        <v>175</v>
      </c>
      <c r="F185" s="9">
        <v>4.18</v>
      </c>
    </row>
    <row r="186" spans="1:6" x14ac:dyDescent="0.35">
      <c r="A186" s="10">
        <v>1054</v>
      </c>
      <c r="B186" s="7">
        <v>2</v>
      </c>
      <c r="C186" s="7" t="s">
        <v>72</v>
      </c>
      <c r="D186" s="7">
        <v>6</v>
      </c>
      <c r="E186" s="7" t="s">
        <v>165</v>
      </c>
      <c r="F186" s="9">
        <v>1.67</v>
      </c>
    </row>
    <row r="187" spans="1:6" x14ac:dyDescent="0.35">
      <c r="A187" s="10">
        <v>1055</v>
      </c>
      <c r="B187" s="7">
        <v>1</v>
      </c>
      <c r="C187" s="7" t="s">
        <v>144</v>
      </c>
      <c r="D187" s="7">
        <v>1</v>
      </c>
      <c r="E187" s="7" t="s">
        <v>177</v>
      </c>
      <c r="F187" s="9">
        <v>5.0199999999999996</v>
      </c>
    </row>
    <row r="188" spans="1:6" x14ac:dyDescent="0.35">
      <c r="A188" s="10">
        <v>1055</v>
      </c>
      <c r="B188" s="7">
        <v>2</v>
      </c>
      <c r="C188" s="7" t="s">
        <v>74</v>
      </c>
      <c r="D188" s="7">
        <v>1</v>
      </c>
      <c r="E188" s="7" t="s">
        <v>165</v>
      </c>
      <c r="F188" s="9">
        <v>1.67</v>
      </c>
    </row>
    <row r="189" spans="1:6" x14ac:dyDescent="0.35">
      <c r="A189" s="10">
        <v>1056</v>
      </c>
      <c r="B189" s="7">
        <v>1</v>
      </c>
      <c r="C189" s="7" t="s">
        <v>143</v>
      </c>
      <c r="D189" s="7">
        <v>1</v>
      </c>
      <c r="E189" s="7" t="s">
        <v>167</v>
      </c>
      <c r="F189" s="9">
        <v>8.3699999999999992</v>
      </c>
    </row>
    <row r="190" spans="1:6" x14ac:dyDescent="0.35">
      <c r="A190" s="10">
        <v>1056</v>
      </c>
      <c r="B190" s="7">
        <v>2</v>
      </c>
      <c r="C190" s="7" t="s">
        <v>129</v>
      </c>
      <c r="D190" s="7">
        <v>1</v>
      </c>
      <c r="E190" s="7" t="s">
        <v>167</v>
      </c>
      <c r="F190" s="9">
        <v>8.3699999999999992</v>
      </c>
    </row>
    <row r="191" spans="1:6" x14ac:dyDescent="0.35">
      <c r="A191" s="10">
        <v>1056</v>
      </c>
      <c r="B191" s="7">
        <v>3</v>
      </c>
      <c r="C191" s="7" t="s">
        <v>87</v>
      </c>
      <c r="D191" s="7">
        <v>6</v>
      </c>
      <c r="E191" s="7" t="s">
        <v>165</v>
      </c>
      <c r="F191" s="9">
        <v>1.67</v>
      </c>
    </row>
    <row r="192" spans="1:6" x14ac:dyDescent="0.35">
      <c r="A192" s="10">
        <v>1056</v>
      </c>
      <c r="B192" s="7">
        <v>4</v>
      </c>
      <c r="C192" s="7" t="s">
        <v>57</v>
      </c>
      <c r="D192" s="7">
        <v>7</v>
      </c>
      <c r="E192" s="7" t="s">
        <v>170</v>
      </c>
      <c r="F192" s="9">
        <v>6.69</v>
      </c>
    </row>
    <row r="193" spans="1:6" x14ac:dyDescent="0.35">
      <c r="A193" s="10">
        <v>1056</v>
      </c>
      <c r="B193" s="7">
        <v>5</v>
      </c>
      <c r="C193" s="7" t="s">
        <v>101</v>
      </c>
      <c r="D193" s="7">
        <v>3</v>
      </c>
      <c r="E193" s="7" t="s">
        <v>179</v>
      </c>
      <c r="F193" s="9">
        <v>5.86</v>
      </c>
    </row>
    <row r="194" spans="1:6" x14ac:dyDescent="0.35">
      <c r="A194" s="10">
        <v>1057</v>
      </c>
      <c r="B194" s="7">
        <v>1</v>
      </c>
      <c r="C194" s="7" t="s">
        <v>111</v>
      </c>
      <c r="D194" s="7">
        <v>7</v>
      </c>
      <c r="E194" s="7" t="s">
        <v>179</v>
      </c>
      <c r="F194" s="9">
        <v>5.86</v>
      </c>
    </row>
    <row r="195" spans="1:6" x14ac:dyDescent="0.35">
      <c r="A195" s="10">
        <v>1057</v>
      </c>
      <c r="B195" s="7">
        <v>2</v>
      </c>
      <c r="C195" s="7" t="s">
        <v>140</v>
      </c>
      <c r="D195" s="7">
        <v>4</v>
      </c>
      <c r="E195" s="7" t="s">
        <v>167</v>
      </c>
      <c r="F195" s="9">
        <v>8.3699999999999992</v>
      </c>
    </row>
    <row r="196" spans="1:6" x14ac:dyDescent="0.35">
      <c r="A196" s="10">
        <v>1057</v>
      </c>
      <c r="B196" s="7">
        <v>3</v>
      </c>
      <c r="C196" s="7" t="s">
        <v>72</v>
      </c>
      <c r="D196" s="7">
        <v>7</v>
      </c>
      <c r="E196" s="7" t="s">
        <v>165</v>
      </c>
      <c r="F196" s="9">
        <v>1.67</v>
      </c>
    </row>
    <row r="197" spans="1:6" x14ac:dyDescent="0.35">
      <c r="A197" s="10">
        <v>1057</v>
      </c>
      <c r="B197" s="7">
        <v>4</v>
      </c>
      <c r="C197" s="7" t="s">
        <v>113</v>
      </c>
      <c r="D197" s="7">
        <v>1</v>
      </c>
      <c r="E197" s="7" t="s">
        <v>177</v>
      </c>
      <c r="F197" s="9">
        <v>5.0199999999999996</v>
      </c>
    </row>
    <row r="198" spans="1:6" x14ac:dyDescent="0.35">
      <c r="A198" s="10">
        <v>1057</v>
      </c>
      <c r="B198" s="7">
        <v>5</v>
      </c>
      <c r="C198" s="7" t="s">
        <v>126</v>
      </c>
      <c r="D198" s="7">
        <v>5</v>
      </c>
      <c r="E198" s="7" t="s">
        <v>192</v>
      </c>
      <c r="F198" s="9">
        <v>2.09</v>
      </c>
    </row>
    <row r="199" spans="1:6" x14ac:dyDescent="0.35">
      <c r="A199" s="10">
        <v>1058</v>
      </c>
      <c r="B199" s="7">
        <v>1</v>
      </c>
      <c r="C199" s="7" t="s">
        <v>129</v>
      </c>
      <c r="D199" s="7">
        <v>7</v>
      </c>
      <c r="E199" s="7" t="s">
        <v>167</v>
      </c>
      <c r="F199" s="9">
        <v>8.3699999999999992</v>
      </c>
    </row>
    <row r="200" spans="1:6" x14ac:dyDescent="0.35">
      <c r="A200" s="10">
        <v>1058</v>
      </c>
      <c r="B200" s="7">
        <v>2</v>
      </c>
      <c r="C200" s="7" t="s">
        <v>105</v>
      </c>
      <c r="D200" s="7">
        <v>5</v>
      </c>
      <c r="E200" s="7" t="s">
        <v>165</v>
      </c>
      <c r="F200" s="9">
        <v>1.67</v>
      </c>
    </row>
    <row r="201" spans="1:6" x14ac:dyDescent="0.35">
      <c r="A201" s="10">
        <v>1059</v>
      </c>
      <c r="B201" s="7">
        <v>1</v>
      </c>
      <c r="C201" s="7" t="s">
        <v>104</v>
      </c>
      <c r="D201" s="7">
        <v>2</v>
      </c>
      <c r="E201" s="7" t="s">
        <v>192</v>
      </c>
      <c r="F201" s="9">
        <v>2.09</v>
      </c>
    </row>
    <row r="202" spans="1:6" x14ac:dyDescent="0.35">
      <c r="A202" s="10">
        <v>1059</v>
      </c>
      <c r="B202" s="7">
        <v>2</v>
      </c>
      <c r="C202" s="7" t="s">
        <v>127</v>
      </c>
      <c r="D202" s="7">
        <v>6</v>
      </c>
      <c r="E202" s="7" t="s">
        <v>177</v>
      </c>
      <c r="F202" s="9">
        <v>5.0199999999999996</v>
      </c>
    </row>
    <row r="203" spans="1:6" x14ac:dyDescent="0.35">
      <c r="A203" s="10">
        <v>1060</v>
      </c>
      <c r="B203" s="7">
        <v>1</v>
      </c>
      <c r="C203" s="7" t="s">
        <v>147</v>
      </c>
      <c r="D203" s="7">
        <v>6</v>
      </c>
      <c r="E203" s="7" t="s">
        <v>179</v>
      </c>
      <c r="F203" s="9">
        <v>5.86</v>
      </c>
    </row>
    <row r="204" spans="1:6" x14ac:dyDescent="0.35">
      <c r="A204" s="10">
        <v>1060</v>
      </c>
      <c r="B204" s="7">
        <v>2</v>
      </c>
      <c r="C204" s="7" t="s">
        <v>69</v>
      </c>
      <c r="D204" s="7">
        <v>6</v>
      </c>
      <c r="E204" s="7" t="s">
        <v>170</v>
      </c>
      <c r="F204" s="9">
        <v>6.69</v>
      </c>
    </row>
    <row r="205" spans="1:6" x14ac:dyDescent="0.35">
      <c r="A205" s="10">
        <v>1060</v>
      </c>
      <c r="B205" s="7">
        <v>3</v>
      </c>
      <c r="C205" s="7" t="s">
        <v>151</v>
      </c>
      <c r="D205" s="7">
        <v>2</v>
      </c>
      <c r="E205" s="7" t="s">
        <v>167</v>
      </c>
      <c r="F205" s="9">
        <v>8.3699999999999992</v>
      </c>
    </row>
    <row r="206" spans="1:6" x14ac:dyDescent="0.35">
      <c r="A206" s="10">
        <v>1060</v>
      </c>
      <c r="B206" s="7">
        <v>4</v>
      </c>
      <c r="C206" s="7" t="s">
        <v>76</v>
      </c>
      <c r="D206" s="7">
        <v>1</v>
      </c>
      <c r="E206" s="7" t="s">
        <v>179</v>
      </c>
      <c r="F206" s="9">
        <v>5.86</v>
      </c>
    </row>
    <row r="207" spans="1:6" x14ac:dyDescent="0.35">
      <c r="A207" s="10">
        <v>1061</v>
      </c>
      <c r="B207" s="7">
        <v>1</v>
      </c>
      <c r="C207" s="7" t="s">
        <v>134</v>
      </c>
      <c r="D207" s="7">
        <v>7</v>
      </c>
      <c r="E207" s="7" t="s">
        <v>177</v>
      </c>
      <c r="F207" s="9">
        <v>5.0199999999999996</v>
      </c>
    </row>
    <row r="208" spans="1:6" x14ac:dyDescent="0.35">
      <c r="A208" s="10">
        <v>1061</v>
      </c>
      <c r="B208" s="7">
        <v>2</v>
      </c>
      <c r="C208" s="7" t="s">
        <v>123</v>
      </c>
      <c r="D208" s="7">
        <v>5</v>
      </c>
      <c r="E208" s="7" t="s">
        <v>179</v>
      </c>
      <c r="F208" s="9">
        <v>5.86</v>
      </c>
    </row>
    <row r="209" spans="1:6" x14ac:dyDescent="0.35">
      <c r="A209" s="10">
        <v>1061</v>
      </c>
      <c r="B209" s="7">
        <v>3</v>
      </c>
      <c r="C209" s="7" t="s">
        <v>65</v>
      </c>
      <c r="D209" s="7">
        <v>2</v>
      </c>
      <c r="E209" s="7" t="s">
        <v>175</v>
      </c>
      <c r="F209" s="9">
        <v>4.18</v>
      </c>
    </row>
    <row r="210" spans="1:6" x14ac:dyDescent="0.35">
      <c r="A210" s="10">
        <v>1061</v>
      </c>
      <c r="B210" s="7">
        <v>4</v>
      </c>
      <c r="C210" s="7" t="s">
        <v>137</v>
      </c>
      <c r="D210" s="7">
        <v>6</v>
      </c>
      <c r="E210" s="7" t="s">
        <v>165</v>
      </c>
      <c r="F210" s="9">
        <v>1.67</v>
      </c>
    </row>
    <row r="211" spans="1:6" x14ac:dyDescent="0.35">
      <c r="A211" s="10">
        <v>1061</v>
      </c>
      <c r="B211" s="7">
        <v>5</v>
      </c>
      <c r="C211" s="7" t="s">
        <v>151</v>
      </c>
      <c r="D211" s="7">
        <v>3</v>
      </c>
      <c r="E211" s="7" t="s">
        <v>167</v>
      </c>
      <c r="F211" s="9">
        <v>8.3699999999999992</v>
      </c>
    </row>
    <row r="212" spans="1:6" x14ac:dyDescent="0.35">
      <c r="A212" s="10">
        <v>1062</v>
      </c>
      <c r="B212" s="7">
        <v>1</v>
      </c>
      <c r="C212" s="7" t="s">
        <v>81</v>
      </c>
      <c r="D212" s="7">
        <v>5</v>
      </c>
      <c r="E212" s="7" t="s">
        <v>177</v>
      </c>
      <c r="F212" s="9">
        <v>5.0199999999999996</v>
      </c>
    </row>
    <row r="213" spans="1:6" x14ac:dyDescent="0.35">
      <c r="A213" s="10">
        <v>1062</v>
      </c>
      <c r="B213" s="7">
        <v>2</v>
      </c>
      <c r="C213" s="7" t="s">
        <v>125</v>
      </c>
      <c r="D213" s="7">
        <v>2</v>
      </c>
      <c r="E213" s="7" t="s">
        <v>170</v>
      </c>
      <c r="F213" s="9">
        <v>6.69</v>
      </c>
    </row>
    <row r="214" spans="1:6" x14ac:dyDescent="0.35">
      <c r="A214" s="10">
        <v>1062</v>
      </c>
      <c r="B214" s="7">
        <v>3</v>
      </c>
      <c r="C214" s="7" t="s">
        <v>105</v>
      </c>
      <c r="D214" s="7">
        <v>6</v>
      </c>
      <c r="E214" s="7" t="s">
        <v>165</v>
      </c>
      <c r="F214" s="9">
        <v>1.67</v>
      </c>
    </row>
    <row r="215" spans="1:6" x14ac:dyDescent="0.35">
      <c r="A215" s="10">
        <v>1063</v>
      </c>
      <c r="B215" s="7">
        <v>1</v>
      </c>
      <c r="C215" s="7" t="s">
        <v>88</v>
      </c>
      <c r="D215" s="7">
        <v>1</v>
      </c>
      <c r="E215" s="7" t="s">
        <v>175</v>
      </c>
      <c r="F215" s="9">
        <v>4.18</v>
      </c>
    </row>
    <row r="216" spans="1:6" x14ac:dyDescent="0.35">
      <c r="A216" s="10">
        <v>1063</v>
      </c>
      <c r="B216" s="7">
        <v>2</v>
      </c>
      <c r="C216" s="7" t="s">
        <v>154</v>
      </c>
      <c r="D216" s="7">
        <v>7</v>
      </c>
      <c r="E216" s="7" t="s">
        <v>167</v>
      </c>
      <c r="F216" s="9">
        <v>8.3699999999999992</v>
      </c>
    </row>
    <row r="217" spans="1:6" x14ac:dyDescent="0.35">
      <c r="A217" s="10">
        <v>1063</v>
      </c>
      <c r="B217" s="7">
        <v>3</v>
      </c>
      <c r="C217" s="7" t="s">
        <v>60</v>
      </c>
      <c r="D217" s="7">
        <v>7</v>
      </c>
      <c r="E217" s="7" t="s">
        <v>165</v>
      </c>
      <c r="F217" s="9">
        <v>1.67</v>
      </c>
    </row>
    <row r="218" spans="1:6" x14ac:dyDescent="0.35">
      <c r="A218" s="10">
        <v>1063</v>
      </c>
      <c r="B218" s="7">
        <v>4</v>
      </c>
      <c r="C218" s="7" t="s">
        <v>147</v>
      </c>
      <c r="D218" s="7">
        <v>5</v>
      </c>
      <c r="E218" s="7" t="s">
        <v>179</v>
      </c>
      <c r="F218" s="9">
        <v>5.86</v>
      </c>
    </row>
    <row r="219" spans="1:6" x14ac:dyDescent="0.35">
      <c r="A219" s="10">
        <v>1063</v>
      </c>
      <c r="B219" s="7">
        <v>5</v>
      </c>
      <c r="C219" s="7" t="s">
        <v>157</v>
      </c>
      <c r="D219" s="7">
        <v>7</v>
      </c>
      <c r="E219" s="7" t="s">
        <v>165</v>
      </c>
      <c r="F219" s="9">
        <v>1.67</v>
      </c>
    </row>
    <row r="220" spans="1:6" x14ac:dyDescent="0.35">
      <c r="A220" s="10">
        <v>1064</v>
      </c>
      <c r="B220" s="7">
        <v>1</v>
      </c>
      <c r="C220" s="7" t="s">
        <v>98</v>
      </c>
      <c r="D220" s="7">
        <v>4</v>
      </c>
      <c r="E220" s="7" t="s">
        <v>165</v>
      </c>
      <c r="F220" s="9">
        <v>1.67</v>
      </c>
    </row>
    <row r="221" spans="1:6" x14ac:dyDescent="0.35">
      <c r="A221" s="10">
        <v>1064</v>
      </c>
      <c r="B221" s="7">
        <v>2</v>
      </c>
      <c r="C221" s="7" t="s">
        <v>145</v>
      </c>
      <c r="D221" s="7">
        <v>5</v>
      </c>
      <c r="E221" s="7" t="s">
        <v>179</v>
      </c>
      <c r="F221" s="9">
        <v>5.86</v>
      </c>
    </row>
    <row r="222" spans="1:6" x14ac:dyDescent="0.35">
      <c r="A222" s="10">
        <v>1065</v>
      </c>
      <c r="B222" s="7">
        <v>1</v>
      </c>
      <c r="C222" s="7" t="s">
        <v>72</v>
      </c>
      <c r="D222" s="7">
        <v>6</v>
      </c>
      <c r="E222" s="7" t="s">
        <v>165</v>
      </c>
      <c r="F222" s="9">
        <v>1.67</v>
      </c>
    </row>
    <row r="223" spans="1:6" x14ac:dyDescent="0.35">
      <c r="A223" s="10">
        <v>1065</v>
      </c>
      <c r="B223" s="7">
        <v>2</v>
      </c>
      <c r="C223" s="7" t="s">
        <v>70</v>
      </c>
      <c r="D223" s="7">
        <v>1</v>
      </c>
      <c r="E223" s="7" t="s">
        <v>179</v>
      </c>
      <c r="F223" s="9">
        <v>5.86</v>
      </c>
    </row>
    <row r="224" spans="1:6" x14ac:dyDescent="0.35">
      <c r="A224" s="10">
        <v>1065</v>
      </c>
      <c r="B224" s="7">
        <v>3</v>
      </c>
      <c r="C224" s="7" t="s">
        <v>123</v>
      </c>
      <c r="D224" s="7">
        <v>4</v>
      </c>
      <c r="E224" s="7" t="s">
        <v>179</v>
      </c>
      <c r="F224" s="9">
        <v>5.86</v>
      </c>
    </row>
    <row r="225" spans="1:6" x14ac:dyDescent="0.35">
      <c r="A225" s="10">
        <v>1066</v>
      </c>
      <c r="B225" s="7">
        <v>1</v>
      </c>
      <c r="C225" s="7" t="s">
        <v>76</v>
      </c>
      <c r="D225" s="7">
        <v>3</v>
      </c>
      <c r="E225" s="7" t="s">
        <v>179</v>
      </c>
      <c r="F225" s="9">
        <v>5.86</v>
      </c>
    </row>
    <row r="226" spans="1:6" x14ac:dyDescent="0.35">
      <c r="A226" s="10">
        <v>1066</v>
      </c>
      <c r="B226" s="7">
        <v>2</v>
      </c>
      <c r="C226" s="7" t="s">
        <v>149</v>
      </c>
      <c r="D226" s="7">
        <v>2</v>
      </c>
      <c r="E226" s="7" t="s">
        <v>175</v>
      </c>
      <c r="F226" s="9">
        <v>4.18</v>
      </c>
    </row>
    <row r="227" spans="1:6" x14ac:dyDescent="0.35">
      <c r="A227" s="10">
        <v>1066</v>
      </c>
      <c r="B227" s="7">
        <v>3</v>
      </c>
      <c r="C227" s="7" t="s">
        <v>81</v>
      </c>
      <c r="D227" s="7">
        <v>3</v>
      </c>
      <c r="E227" s="7" t="s">
        <v>177</v>
      </c>
      <c r="F227" s="9">
        <v>5.0199999999999996</v>
      </c>
    </row>
    <row r="228" spans="1:6" x14ac:dyDescent="0.35">
      <c r="A228" s="10">
        <v>1066</v>
      </c>
      <c r="B228" s="7">
        <v>4</v>
      </c>
      <c r="C228" s="7" t="s">
        <v>155</v>
      </c>
      <c r="D228" s="7">
        <v>1</v>
      </c>
      <c r="E228" s="7" t="s">
        <v>167</v>
      </c>
      <c r="F228" s="9">
        <v>8.3699999999999992</v>
      </c>
    </row>
    <row r="229" spans="1:6" x14ac:dyDescent="0.35">
      <c r="A229" s="10">
        <v>1066</v>
      </c>
      <c r="B229" s="7">
        <v>5</v>
      </c>
      <c r="C229" s="7" t="s">
        <v>79</v>
      </c>
      <c r="D229" s="7">
        <v>7</v>
      </c>
      <c r="E229" s="7" t="s">
        <v>192</v>
      </c>
      <c r="F229" s="9">
        <v>2.09</v>
      </c>
    </row>
    <row r="230" spans="1:6" x14ac:dyDescent="0.35">
      <c r="A230" s="10">
        <v>1067</v>
      </c>
      <c r="B230" s="7">
        <v>1</v>
      </c>
      <c r="C230" s="7" t="s">
        <v>151</v>
      </c>
      <c r="D230" s="7">
        <v>4</v>
      </c>
      <c r="E230" s="7" t="s">
        <v>167</v>
      </c>
      <c r="F230" s="9">
        <v>8.3699999999999992</v>
      </c>
    </row>
    <row r="231" spans="1:6" x14ac:dyDescent="0.35">
      <c r="A231" s="10">
        <v>1067</v>
      </c>
      <c r="B231" s="7">
        <v>2</v>
      </c>
      <c r="C231" s="7" t="s">
        <v>63</v>
      </c>
      <c r="D231" s="7">
        <v>5</v>
      </c>
      <c r="E231" s="7" t="s">
        <v>165</v>
      </c>
      <c r="F231" s="9">
        <v>1.67</v>
      </c>
    </row>
    <row r="232" spans="1:6" x14ac:dyDescent="0.35">
      <c r="A232" s="10">
        <v>1067</v>
      </c>
      <c r="B232" s="7">
        <v>3</v>
      </c>
      <c r="C232" s="7" t="s">
        <v>76</v>
      </c>
      <c r="D232" s="7">
        <v>4</v>
      </c>
      <c r="E232" s="7" t="s">
        <v>179</v>
      </c>
      <c r="F232" s="9">
        <v>5.86</v>
      </c>
    </row>
    <row r="233" spans="1:6" x14ac:dyDescent="0.35">
      <c r="A233" s="10">
        <v>1068</v>
      </c>
      <c r="B233" s="7">
        <v>1</v>
      </c>
      <c r="C233" s="7" t="s">
        <v>127</v>
      </c>
      <c r="D233" s="7">
        <v>3</v>
      </c>
      <c r="E233" s="7" t="s">
        <v>177</v>
      </c>
      <c r="F233" s="9">
        <v>5.0199999999999996</v>
      </c>
    </row>
    <row r="234" spans="1:6" x14ac:dyDescent="0.35">
      <c r="A234" s="10">
        <v>1068</v>
      </c>
      <c r="B234" s="7">
        <v>2</v>
      </c>
      <c r="C234" s="7" t="s">
        <v>57</v>
      </c>
      <c r="D234" s="7">
        <v>7</v>
      </c>
      <c r="E234" s="7" t="s">
        <v>170</v>
      </c>
      <c r="F234" s="9">
        <v>6.69</v>
      </c>
    </row>
    <row r="235" spans="1:6" x14ac:dyDescent="0.35">
      <c r="A235" s="10">
        <v>1068</v>
      </c>
      <c r="B235" s="7">
        <v>3</v>
      </c>
      <c r="C235" s="7" t="s">
        <v>71</v>
      </c>
      <c r="D235" s="7">
        <v>2</v>
      </c>
      <c r="E235" s="7" t="s">
        <v>165</v>
      </c>
      <c r="F235" s="9">
        <v>1.67</v>
      </c>
    </row>
    <row r="236" spans="1:6" x14ac:dyDescent="0.35">
      <c r="A236" s="10">
        <v>1068</v>
      </c>
      <c r="B236" s="7">
        <v>4</v>
      </c>
      <c r="C236" s="7" t="s">
        <v>146</v>
      </c>
      <c r="D236" s="7">
        <v>7</v>
      </c>
      <c r="E236" s="7" t="s">
        <v>175</v>
      </c>
      <c r="F236" s="9">
        <v>4.18</v>
      </c>
    </row>
    <row r="237" spans="1:6" x14ac:dyDescent="0.35">
      <c r="A237" s="10">
        <v>1069</v>
      </c>
      <c r="B237" s="7">
        <v>1</v>
      </c>
      <c r="C237" s="7" t="s">
        <v>70</v>
      </c>
      <c r="D237" s="7">
        <v>7</v>
      </c>
      <c r="E237" s="7" t="s">
        <v>179</v>
      </c>
      <c r="F237" s="9">
        <v>5.86</v>
      </c>
    </row>
    <row r="238" spans="1:6" x14ac:dyDescent="0.35">
      <c r="A238" s="10">
        <v>1069</v>
      </c>
      <c r="B238" s="7">
        <v>2</v>
      </c>
      <c r="C238" s="7" t="s">
        <v>105</v>
      </c>
      <c r="D238" s="7">
        <v>1</v>
      </c>
      <c r="E238" s="7" t="s">
        <v>165</v>
      </c>
      <c r="F238" s="9">
        <v>1.67</v>
      </c>
    </row>
    <row r="239" spans="1:6" x14ac:dyDescent="0.35">
      <c r="A239" s="10">
        <v>1069</v>
      </c>
      <c r="B239" s="7">
        <v>3</v>
      </c>
      <c r="C239" s="7" t="s">
        <v>136</v>
      </c>
      <c r="D239" s="7">
        <v>7</v>
      </c>
      <c r="E239" s="7" t="s">
        <v>177</v>
      </c>
      <c r="F239" s="9">
        <v>5.0199999999999996</v>
      </c>
    </row>
    <row r="240" spans="1:6" x14ac:dyDescent="0.35">
      <c r="A240" s="10">
        <v>1070</v>
      </c>
      <c r="B240" s="7">
        <v>1</v>
      </c>
      <c r="C240" s="7" t="s">
        <v>73</v>
      </c>
      <c r="D240" s="7">
        <v>5</v>
      </c>
      <c r="E240" s="7" t="s">
        <v>165</v>
      </c>
      <c r="F240" s="9">
        <v>1.67</v>
      </c>
    </row>
    <row r="241" spans="1:6" x14ac:dyDescent="0.35">
      <c r="A241" s="10">
        <v>1070</v>
      </c>
      <c r="B241" s="7">
        <v>2</v>
      </c>
      <c r="C241" s="7" t="s">
        <v>79</v>
      </c>
      <c r="D241" s="7">
        <v>2</v>
      </c>
      <c r="E241" s="7" t="s">
        <v>192</v>
      </c>
      <c r="F241" s="9">
        <v>2.09</v>
      </c>
    </row>
    <row r="242" spans="1:6" x14ac:dyDescent="0.35">
      <c r="A242" s="10">
        <v>1070</v>
      </c>
      <c r="B242" s="7">
        <v>3</v>
      </c>
      <c r="C242" s="7" t="s">
        <v>93</v>
      </c>
      <c r="D242" s="7">
        <v>1</v>
      </c>
      <c r="E242" s="7" t="s">
        <v>175</v>
      </c>
      <c r="F242" s="9">
        <v>4.18</v>
      </c>
    </row>
    <row r="243" spans="1:6" x14ac:dyDescent="0.35">
      <c r="A243" s="10">
        <v>1070</v>
      </c>
      <c r="B243" s="7">
        <v>4</v>
      </c>
      <c r="C243" s="7" t="s">
        <v>104</v>
      </c>
      <c r="D243" s="7">
        <v>1</v>
      </c>
      <c r="E243" s="7" t="s">
        <v>192</v>
      </c>
      <c r="F243" s="9">
        <v>2.09</v>
      </c>
    </row>
    <row r="244" spans="1:6" x14ac:dyDescent="0.35">
      <c r="A244" s="10">
        <v>1070</v>
      </c>
      <c r="B244" s="7">
        <v>5</v>
      </c>
      <c r="C244" s="7" t="s">
        <v>90</v>
      </c>
      <c r="D244" s="7">
        <v>6</v>
      </c>
      <c r="E244" s="7" t="s">
        <v>165</v>
      </c>
      <c r="F244" s="9">
        <v>1.67</v>
      </c>
    </row>
    <row r="245" spans="1:6" x14ac:dyDescent="0.35">
      <c r="A245" s="10">
        <v>1071</v>
      </c>
      <c r="B245" s="7">
        <v>1</v>
      </c>
      <c r="C245" s="7" t="s">
        <v>146</v>
      </c>
      <c r="D245" s="7">
        <v>6</v>
      </c>
      <c r="E245" s="7" t="s">
        <v>175</v>
      </c>
      <c r="F245" s="9">
        <v>4.18</v>
      </c>
    </row>
    <row r="246" spans="1:6" x14ac:dyDescent="0.35">
      <c r="A246" s="10">
        <v>1071</v>
      </c>
      <c r="B246" s="7">
        <v>2</v>
      </c>
      <c r="C246" s="7" t="s">
        <v>48</v>
      </c>
      <c r="D246" s="7">
        <v>2</v>
      </c>
      <c r="E246" s="7" t="s">
        <v>165</v>
      </c>
      <c r="F246" s="9">
        <v>1.67</v>
      </c>
    </row>
    <row r="247" spans="1:6" x14ac:dyDescent="0.35">
      <c r="A247" s="10">
        <v>1071</v>
      </c>
      <c r="B247" s="7">
        <v>3</v>
      </c>
      <c r="C247" s="7" t="s">
        <v>134</v>
      </c>
      <c r="D247" s="7">
        <v>3</v>
      </c>
      <c r="E247" s="7" t="s">
        <v>177</v>
      </c>
      <c r="F247" s="9">
        <v>5.0199999999999996</v>
      </c>
    </row>
    <row r="248" spans="1:6" x14ac:dyDescent="0.35">
      <c r="A248" s="10">
        <v>1071</v>
      </c>
      <c r="B248" s="7">
        <v>4</v>
      </c>
      <c r="C248" s="7" t="s">
        <v>65</v>
      </c>
      <c r="D248" s="7">
        <v>3</v>
      </c>
      <c r="E248" s="7" t="s">
        <v>175</v>
      </c>
      <c r="F248" s="9">
        <v>4.18</v>
      </c>
    </row>
    <row r="249" spans="1:6" x14ac:dyDescent="0.35">
      <c r="A249" s="10">
        <v>1071</v>
      </c>
      <c r="B249" s="7">
        <v>5</v>
      </c>
      <c r="C249" s="7" t="s">
        <v>76</v>
      </c>
      <c r="D249" s="7">
        <v>1</v>
      </c>
      <c r="E249" s="7" t="s">
        <v>179</v>
      </c>
      <c r="F249" s="9">
        <v>5.86</v>
      </c>
    </row>
    <row r="250" spans="1:6" x14ac:dyDescent="0.35">
      <c r="A250" s="10">
        <v>1072</v>
      </c>
      <c r="B250" s="7">
        <v>1</v>
      </c>
      <c r="C250" s="7" t="s">
        <v>136</v>
      </c>
      <c r="D250" s="7">
        <v>6</v>
      </c>
      <c r="E250" s="7" t="s">
        <v>177</v>
      </c>
      <c r="F250" s="9">
        <v>5.0199999999999996</v>
      </c>
    </row>
    <row r="251" spans="1:6" x14ac:dyDescent="0.35">
      <c r="A251" s="10">
        <v>1072</v>
      </c>
      <c r="B251" s="7">
        <v>2</v>
      </c>
      <c r="C251" s="7" t="s">
        <v>105</v>
      </c>
      <c r="D251" s="7">
        <v>7</v>
      </c>
      <c r="E251" s="7" t="s">
        <v>165</v>
      </c>
      <c r="F251" s="9">
        <v>1.67</v>
      </c>
    </row>
    <row r="252" spans="1:6" x14ac:dyDescent="0.35">
      <c r="A252" s="10">
        <v>1073</v>
      </c>
      <c r="B252" s="7">
        <v>1</v>
      </c>
      <c r="C252" s="7" t="s">
        <v>89</v>
      </c>
      <c r="D252" s="7">
        <v>7</v>
      </c>
      <c r="E252" s="7" t="s">
        <v>165</v>
      </c>
      <c r="F252" s="9">
        <v>1.67</v>
      </c>
    </row>
    <row r="253" spans="1:6" x14ac:dyDescent="0.35">
      <c r="A253" s="10">
        <v>1073</v>
      </c>
      <c r="B253" s="7">
        <v>2</v>
      </c>
      <c r="C253" s="7" t="s">
        <v>126</v>
      </c>
      <c r="D253" s="7">
        <v>1</v>
      </c>
      <c r="E253" s="7" t="s">
        <v>192</v>
      </c>
      <c r="F253" s="9">
        <v>2.09</v>
      </c>
    </row>
    <row r="254" spans="1:6" x14ac:dyDescent="0.35">
      <c r="A254" s="10">
        <v>1073</v>
      </c>
      <c r="B254" s="7">
        <v>3</v>
      </c>
      <c r="C254" s="7" t="s">
        <v>120</v>
      </c>
      <c r="D254" s="7">
        <v>2</v>
      </c>
      <c r="E254" s="7" t="s">
        <v>197</v>
      </c>
      <c r="F254" s="9">
        <v>3.76</v>
      </c>
    </row>
    <row r="255" spans="1:6" x14ac:dyDescent="0.35">
      <c r="A255" s="10">
        <v>1074</v>
      </c>
      <c r="B255" s="7">
        <v>1</v>
      </c>
      <c r="C255" s="7" t="s">
        <v>135</v>
      </c>
      <c r="D255" s="7">
        <v>2</v>
      </c>
      <c r="E255" s="7" t="s">
        <v>167</v>
      </c>
      <c r="F255" s="9">
        <v>8.3699999999999992</v>
      </c>
    </row>
    <row r="256" spans="1:6" x14ac:dyDescent="0.35">
      <c r="A256" s="10">
        <v>1074</v>
      </c>
      <c r="B256" s="7">
        <v>2</v>
      </c>
      <c r="C256" s="7" t="s">
        <v>65</v>
      </c>
      <c r="D256" s="7">
        <v>2</v>
      </c>
      <c r="E256" s="7" t="s">
        <v>175</v>
      </c>
      <c r="F256" s="9">
        <v>4.18</v>
      </c>
    </row>
    <row r="257" spans="1:6" x14ac:dyDescent="0.35">
      <c r="A257" s="10">
        <v>1075</v>
      </c>
      <c r="B257" s="7">
        <v>1</v>
      </c>
      <c r="C257" s="7" t="s">
        <v>76</v>
      </c>
      <c r="D257" s="7">
        <v>6</v>
      </c>
      <c r="E257" s="7" t="s">
        <v>179</v>
      </c>
      <c r="F257" s="9">
        <v>5.86</v>
      </c>
    </row>
    <row r="258" spans="1:6" x14ac:dyDescent="0.35">
      <c r="A258" s="10">
        <v>1075</v>
      </c>
      <c r="B258" s="7">
        <v>2</v>
      </c>
      <c r="C258" s="7" t="s">
        <v>104</v>
      </c>
      <c r="D258" s="7">
        <v>2</v>
      </c>
      <c r="E258" s="7" t="s">
        <v>192</v>
      </c>
      <c r="F258" s="9">
        <v>2.09</v>
      </c>
    </row>
    <row r="259" spans="1:6" x14ac:dyDescent="0.35">
      <c r="A259" s="10">
        <v>1076</v>
      </c>
      <c r="B259" s="7">
        <v>1</v>
      </c>
      <c r="C259" s="7" t="s">
        <v>94</v>
      </c>
      <c r="D259" s="7">
        <v>3</v>
      </c>
      <c r="E259" s="7" t="s">
        <v>170</v>
      </c>
      <c r="F259" s="9">
        <v>6.69</v>
      </c>
    </row>
    <row r="260" spans="1:6" x14ac:dyDescent="0.35">
      <c r="A260" s="10">
        <v>1076</v>
      </c>
      <c r="B260" s="7">
        <v>2</v>
      </c>
      <c r="C260" s="7" t="s">
        <v>151</v>
      </c>
      <c r="D260" s="7">
        <v>6</v>
      </c>
      <c r="E260" s="7" t="s">
        <v>167</v>
      </c>
      <c r="F260" s="9">
        <v>8.3699999999999992</v>
      </c>
    </row>
    <row r="261" spans="1:6" x14ac:dyDescent="0.35">
      <c r="A261" s="10">
        <v>1077</v>
      </c>
      <c r="B261" s="7">
        <v>1</v>
      </c>
      <c r="C261" s="7" t="s">
        <v>154</v>
      </c>
      <c r="D261" s="7">
        <v>3</v>
      </c>
      <c r="E261" s="7" t="s">
        <v>167</v>
      </c>
      <c r="F261" s="9">
        <v>8.3699999999999992</v>
      </c>
    </row>
    <row r="262" spans="1:6" x14ac:dyDescent="0.35">
      <c r="A262" s="10">
        <v>1077</v>
      </c>
      <c r="B262" s="7">
        <v>2</v>
      </c>
      <c r="C262" s="7" t="s">
        <v>144</v>
      </c>
      <c r="D262" s="7">
        <v>2</v>
      </c>
      <c r="E262" s="7" t="s">
        <v>177</v>
      </c>
      <c r="F262" s="9">
        <v>5.0199999999999996</v>
      </c>
    </row>
    <row r="263" spans="1:6" x14ac:dyDescent="0.35">
      <c r="A263" s="10">
        <v>1077</v>
      </c>
      <c r="B263" s="7">
        <v>3</v>
      </c>
      <c r="C263" s="7" t="s">
        <v>142</v>
      </c>
      <c r="D263" s="7">
        <v>7</v>
      </c>
      <c r="E263" s="7" t="s">
        <v>192</v>
      </c>
      <c r="F263" s="9">
        <v>2.09</v>
      </c>
    </row>
    <row r="264" spans="1:6" x14ac:dyDescent="0.35">
      <c r="A264" s="10">
        <v>1077</v>
      </c>
      <c r="B264" s="7">
        <v>4</v>
      </c>
      <c r="C264" s="7" t="s">
        <v>131</v>
      </c>
      <c r="D264" s="7">
        <v>5</v>
      </c>
      <c r="E264" s="7" t="s">
        <v>167</v>
      </c>
      <c r="F264" s="9">
        <v>8.3699999999999992</v>
      </c>
    </row>
    <row r="265" spans="1:6" x14ac:dyDescent="0.35">
      <c r="A265" s="10">
        <v>1078</v>
      </c>
      <c r="B265" s="7">
        <v>1</v>
      </c>
      <c r="C265" s="7" t="s">
        <v>94</v>
      </c>
      <c r="D265" s="7">
        <v>1</v>
      </c>
      <c r="E265" s="7" t="s">
        <v>170</v>
      </c>
      <c r="F265" s="9">
        <v>6.69</v>
      </c>
    </row>
    <row r="266" spans="1:6" x14ac:dyDescent="0.35">
      <c r="A266" s="10">
        <v>1078</v>
      </c>
      <c r="B266" s="7">
        <v>2</v>
      </c>
      <c r="C266" s="7" t="s">
        <v>121</v>
      </c>
      <c r="D266" s="7">
        <v>5</v>
      </c>
      <c r="E266" s="7" t="s">
        <v>197</v>
      </c>
      <c r="F266" s="9">
        <v>3.76</v>
      </c>
    </row>
    <row r="267" spans="1:6" x14ac:dyDescent="0.35">
      <c r="A267" s="10">
        <v>1079</v>
      </c>
      <c r="B267" s="7">
        <v>1</v>
      </c>
      <c r="C267" s="7" t="s">
        <v>114</v>
      </c>
      <c r="D267" s="7">
        <v>7</v>
      </c>
      <c r="E267" s="7" t="s">
        <v>197</v>
      </c>
      <c r="F267" s="9">
        <v>3.76</v>
      </c>
    </row>
    <row r="268" spans="1:6" x14ac:dyDescent="0.35">
      <c r="A268" s="10">
        <v>1079</v>
      </c>
      <c r="B268" s="7">
        <v>2</v>
      </c>
      <c r="C268" s="7" t="s">
        <v>99</v>
      </c>
      <c r="D268" s="7">
        <v>4</v>
      </c>
      <c r="E268" s="7" t="s">
        <v>165</v>
      </c>
      <c r="F268" s="9">
        <v>1.67</v>
      </c>
    </row>
    <row r="269" spans="1:6" x14ac:dyDescent="0.35">
      <c r="A269" s="10">
        <v>1079</v>
      </c>
      <c r="B269" s="7">
        <v>3</v>
      </c>
      <c r="C269" s="7" t="s">
        <v>150</v>
      </c>
      <c r="D269" s="7">
        <v>4</v>
      </c>
      <c r="E269" s="7" t="s">
        <v>167</v>
      </c>
      <c r="F269" s="9">
        <v>8.3699999999999992</v>
      </c>
    </row>
    <row r="270" spans="1:6" x14ac:dyDescent="0.35">
      <c r="A270" s="10">
        <v>1080</v>
      </c>
      <c r="B270" s="7">
        <v>1</v>
      </c>
      <c r="C270" s="7" t="s">
        <v>114</v>
      </c>
      <c r="D270" s="7">
        <v>5</v>
      </c>
      <c r="E270" s="7" t="s">
        <v>197</v>
      </c>
      <c r="F270" s="9">
        <v>3.76</v>
      </c>
    </row>
    <row r="271" spans="1:6" x14ac:dyDescent="0.35">
      <c r="A271" s="10">
        <v>1080</v>
      </c>
      <c r="B271" s="7">
        <v>2</v>
      </c>
      <c r="C271" s="7" t="s">
        <v>84</v>
      </c>
      <c r="D271" s="7">
        <v>2</v>
      </c>
      <c r="E271" s="7" t="s">
        <v>192</v>
      </c>
      <c r="F271" s="9">
        <v>2.09</v>
      </c>
    </row>
    <row r="272" spans="1:6" x14ac:dyDescent="0.35">
      <c r="A272" s="10">
        <v>1080</v>
      </c>
      <c r="B272" s="7">
        <v>3</v>
      </c>
      <c r="C272" s="7" t="s">
        <v>77</v>
      </c>
      <c r="D272" s="7">
        <v>3</v>
      </c>
      <c r="E272" s="7" t="s">
        <v>165</v>
      </c>
      <c r="F272" s="9">
        <v>1.67</v>
      </c>
    </row>
    <row r="273" spans="1:6" x14ac:dyDescent="0.35">
      <c r="A273" s="10">
        <v>1081</v>
      </c>
      <c r="B273" s="7">
        <v>1</v>
      </c>
      <c r="C273" s="7" t="s">
        <v>125</v>
      </c>
      <c r="D273" s="7">
        <v>4</v>
      </c>
      <c r="E273" s="7" t="s">
        <v>170</v>
      </c>
      <c r="F273" s="9">
        <v>6.69</v>
      </c>
    </row>
    <row r="274" spans="1:6" x14ac:dyDescent="0.35">
      <c r="A274" s="10">
        <v>1081</v>
      </c>
      <c r="B274" s="7">
        <v>2</v>
      </c>
      <c r="C274" s="7" t="s">
        <v>74</v>
      </c>
      <c r="D274" s="7">
        <v>7</v>
      </c>
      <c r="E274" s="7" t="s">
        <v>165</v>
      </c>
      <c r="F274" s="9">
        <v>1.67</v>
      </c>
    </row>
    <row r="275" spans="1:6" x14ac:dyDescent="0.35">
      <c r="A275" s="10">
        <v>1081</v>
      </c>
      <c r="B275" s="7">
        <v>3</v>
      </c>
      <c r="C275" s="7" t="s">
        <v>93</v>
      </c>
      <c r="D275" s="7">
        <v>5</v>
      </c>
      <c r="E275" s="7" t="s">
        <v>175</v>
      </c>
      <c r="F275" s="9">
        <v>4.18</v>
      </c>
    </row>
    <row r="276" spans="1:6" x14ac:dyDescent="0.35">
      <c r="A276" s="10">
        <v>1082</v>
      </c>
      <c r="B276" s="7">
        <v>1</v>
      </c>
      <c r="C276" s="7" t="s">
        <v>127</v>
      </c>
      <c r="D276" s="7">
        <v>5</v>
      </c>
      <c r="E276" s="7" t="s">
        <v>177</v>
      </c>
      <c r="F276" s="9">
        <v>5.0199999999999996</v>
      </c>
    </row>
    <row r="277" spans="1:6" x14ac:dyDescent="0.35">
      <c r="A277" s="10">
        <v>1082</v>
      </c>
      <c r="B277" s="7">
        <v>2</v>
      </c>
      <c r="C277" s="7" t="s">
        <v>51</v>
      </c>
      <c r="D277" s="7">
        <v>3</v>
      </c>
      <c r="E277" s="7" t="s">
        <v>167</v>
      </c>
      <c r="F277" s="9">
        <v>8.3699999999999992</v>
      </c>
    </row>
    <row r="278" spans="1:6" x14ac:dyDescent="0.35">
      <c r="A278" s="10">
        <v>1082</v>
      </c>
      <c r="B278" s="7">
        <v>3</v>
      </c>
      <c r="C278" s="7" t="s">
        <v>75</v>
      </c>
      <c r="D278" s="7">
        <v>7</v>
      </c>
      <c r="E278" s="7" t="s">
        <v>165</v>
      </c>
      <c r="F278" s="9">
        <v>1.67</v>
      </c>
    </row>
    <row r="279" spans="1:6" x14ac:dyDescent="0.35">
      <c r="A279" s="10">
        <v>1082</v>
      </c>
      <c r="B279" s="7">
        <v>4</v>
      </c>
      <c r="C279" s="7" t="s">
        <v>115</v>
      </c>
      <c r="D279" s="7">
        <v>4</v>
      </c>
      <c r="E279" s="7" t="s">
        <v>192</v>
      </c>
      <c r="F279" s="9">
        <v>2.09</v>
      </c>
    </row>
    <row r="280" spans="1:6" x14ac:dyDescent="0.35">
      <c r="A280" s="10">
        <v>1083</v>
      </c>
      <c r="B280" s="7">
        <v>1</v>
      </c>
      <c r="C280" s="7" t="s">
        <v>151</v>
      </c>
      <c r="D280" s="7">
        <v>6</v>
      </c>
      <c r="E280" s="7" t="s">
        <v>167</v>
      </c>
      <c r="F280" s="9">
        <v>8.3699999999999992</v>
      </c>
    </row>
    <row r="281" spans="1:6" x14ac:dyDescent="0.35">
      <c r="A281" s="10">
        <v>1083</v>
      </c>
      <c r="B281" s="7">
        <v>2</v>
      </c>
      <c r="C281" s="7" t="s">
        <v>126</v>
      </c>
      <c r="D281" s="7">
        <v>2</v>
      </c>
      <c r="E281" s="7" t="s">
        <v>192</v>
      </c>
      <c r="F281" s="9">
        <v>2.09</v>
      </c>
    </row>
    <row r="282" spans="1:6" x14ac:dyDescent="0.35">
      <c r="A282" s="10">
        <v>1083</v>
      </c>
      <c r="B282" s="7">
        <v>3</v>
      </c>
      <c r="C282" s="7" t="s">
        <v>97</v>
      </c>
      <c r="D282" s="7">
        <v>4</v>
      </c>
      <c r="E282" s="7" t="s">
        <v>165</v>
      </c>
      <c r="F282" s="9">
        <v>1.67</v>
      </c>
    </row>
    <row r="283" spans="1:6" x14ac:dyDescent="0.35">
      <c r="A283" s="10">
        <v>1083</v>
      </c>
      <c r="B283" s="7">
        <v>4</v>
      </c>
      <c r="C283" s="7" t="s">
        <v>131</v>
      </c>
      <c r="D283" s="7">
        <v>6</v>
      </c>
      <c r="E283" s="7" t="s">
        <v>167</v>
      </c>
      <c r="F283" s="9">
        <v>8.3699999999999992</v>
      </c>
    </row>
    <row r="284" spans="1:6" x14ac:dyDescent="0.35">
      <c r="A284" s="10">
        <v>1084</v>
      </c>
      <c r="B284" s="7">
        <v>1</v>
      </c>
      <c r="C284" s="7" t="s">
        <v>131</v>
      </c>
      <c r="D284" s="7">
        <v>1</v>
      </c>
      <c r="E284" s="7" t="s">
        <v>167</v>
      </c>
      <c r="F284" s="9">
        <v>8.3699999999999992</v>
      </c>
    </row>
    <row r="285" spans="1:6" x14ac:dyDescent="0.35">
      <c r="A285" s="10">
        <v>1084</v>
      </c>
      <c r="B285" s="7">
        <v>2</v>
      </c>
      <c r="C285" s="7" t="s">
        <v>51</v>
      </c>
      <c r="D285" s="7">
        <v>5</v>
      </c>
      <c r="E285" s="7" t="s">
        <v>167</v>
      </c>
      <c r="F285" s="9">
        <v>8.3699999999999992</v>
      </c>
    </row>
    <row r="286" spans="1:6" x14ac:dyDescent="0.35">
      <c r="A286" s="10">
        <v>1084</v>
      </c>
      <c r="B286" s="7">
        <v>3</v>
      </c>
      <c r="C286" s="7" t="s">
        <v>105</v>
      </c>
      <c r="D286" s="7">
        <v>6</v>
      </c>
      <c r="E286" s="7" t="s">
        <v>165</v>
      </c>
      <c r="F286" s="9">
        <v>1.67</v>
      </c>
    </row>
    <row r="287" spans="1:6" x14ac:dyDescent="0.35">
      <c r="A287" s="10">
        <v>1084</v>
      </c>
      <c r="B287" s="7">
        <v>4</v>
      </c>
      <c r="C287" s="7" t="s">
        <v>155</v>
      </c>
      <c r="D287" s="7">
        <v>7</v>
      </c>
      <c r="E287" s="7" t="s">
        <v>167</v>
      </c>
      <c r="F287" s="9">
        <v>8.3699999999999992</v>
      </c>
    </row>
    <row r="288" spans="1:6" x14ac:dyDescent="0.35">
      <c r="A288" s="10">
        <v>1085</v>
      </c>
      <c r="B288" s="7">
        <v>1</v>
      </c>
      <c r="C288" s="7" t="s">
        <v>133</v>
      </c>
      <c r="D288" s="7">
        <v>4</v>
      </c>
      <c r="E288" s="7" t="s">
        <v>175</v>
      </c>
      <c r="F288" s="9">
        <v>4.18</v>
      </c>
    </row>
    <row r="289" spans="1:6" x14ac:dyDescent="0.35">
      <c r="A289" s="10">
        <v>1085</v>
      </c>
      <c r="B289" s="7">
        <v>2</v>
      </c>
      <c r="C289" s="7" t="s">
        <v>143</v>
      </c>
      <c r="D289" s="7">
        <v>4</v>
      </c>
      <c r="E289" s="7" t="s">
        <v>167</v>
      </c>
      <c r="F289" s="9">
        <v>8.3699999999999992</v>
      </c>
    </row>
    <row r="290" spans="1:6" x14ac:dyDescent="0.35">
      <c r="A290" s="10">
        <v>1086</v>
      </c>
      <c r="B290" s="7">
        <v>1</v>
      </c>
      <c r="C290" s="7" t="s">
        <v>132</v>
      </c>
      <c r="D290" s="7">
        <v>2</v>
      </c>
      <c r="E290" s="7" t="s">
        <v>170</v>
      </c>
      <c r="F290" s="9">
        <v>6.69</v>
      </c>
    </row>
    <row r="291" spans="1:6" x14ac:dyDescent="0.35">
      <c r="A291" s="10">
        <v>1086</v>
      </c>
      <c r="B291" s="7">
        <v>2</v>
      </c>
      <c r="C291" s="7" t="s">
        <v>110</v>
      </c>
      <c r="D291" s="7">
        <v>6</v>
      </c>
      <c r="E291" s="7" t="s">
        <v>197</v>
      </c>
      <c r="F291" s="9">
        <v>3.76</v>
      </c>
    </row>
    <row r="292" spans="1:6" x14ac:dyDescent="0.35">
      <c r="A292" s="10">
        <v>1086</v>
      </c>
      <c r="B292" s="7">
        <v>3</v>
      </c>
      <c r="C292" s="7" t="s">
        <v>121</v>
      </c>
      <c r="D292" s="7">
        <v>7</v>
      </c>
      <c r="E292" s="7" t="s">
        <v>197</v>
      </c>
      <c r="F292" s="9">
        <v>3.76</v>
      </c>
    </row>
    <row r="293" spans="1:6" x14ac:dyDescent="0.35">
      <c r="A293" s="10">
        <v>1087</v>
      </c>
      <c r="B293" s="7">
        <v>1</v>
      </c>
      <c r="C293" s="7" t="s">
        <v>123</v>
      </c>
      <c r="D293" s="7">
        <v>4</v>
      </c>
      <c r="E293" s="7" t="s">
        <v>179</v>
      </c>
      <c r="F293" s="9">
        <v>5.86</v>
      </c>
    </row>
    <row r="294" spans="1:6" x14ac:dyDescent="0.35">
      <c r="A294" s="10">
        <v>1087</v>
      </c>
      <c r="B294" s="7">
        <v>2</v>
      </c>
      <c r="C294" s="7" t="s">
        <v>138</v>
      </c>
      <c r="D294" s="7">
        <v>2</v>
      </c>
      <c r="E294" s="7" t="s">
        <v>175</v>
      </c>
      <c r="F294" s="9">
        <v>4.18</v>
      </c>
    </row>
    <row r="295" spans="1:6" x14ac:dyDescent="0.35">
      <c r="A295" s="10">
        <v>1087</v>
      </c>
      <c r="B295" s="7">
        <v>3</v>
      </c>
      <c r="C295" s="7" t="s">
        <v>121</v>
      </c>
      <c r="D295" s="7">
        <v>3</v>
      </c>
      <c r="E295" s="7" t="s">
        <v>197</v>
      </c>
      <c r="F295" s="9">
        <v>3.76</v>
      </c>
    </row>
    <row r="296" spans="1:6" x14ac:dyDescent="0.35">
      <c r="A296" s="10">
        <v>1087</v>
      </c>
      <c r="B296" s="7">
        <v>4</v>
      </c>
      <c r="C296" s="7" t="s">
        <v>131</v>
      </c>
      <c r="D296" s="7">
        <v>7</v>
      </c>
      <c r="E296" s="7" t="s">
        <v>167</v>
      </c>
      <c r="F296" s="9">
        <v>8.3699999999999992</v>
      </c>
    </row>
    <row r="297" spans="1:6" x14ac:dyDescent="0.35">
      <c r="A297" s="10">
        <v>1088</v>
      </c>
      <c r="B297" s="7">
        <v>1</v>
      </c>
      <c r="C297" s="7" t="s">
        <v>139</v>
      </c>
      <c r="D297" s="7">
        <v>4</v>
      </c>
      <c r="E297" s="7" t="s">
        <v>177</v>
      </c>
      <c r="F297" s="9">
        <v>5.0199999999999996</v>
      </c>
    </row>
    <row r="298" spans="1:6" x14ac:dyDescent="0.35">
      <c r="A298" s="10">
        <v>1088</v>
      </c>
      <c r="B298" s="7">
        <v>2</v>
      </c>
      <c r="C298" s="7" t="s">
        <v>106</v>
      </c>
      <c r="D298" s="7">
        <v>6</v>
      </c>
      <c r="E298" s="7" t="s">
        <v>167</v>
      </c>
      <c r="F298" s="9">
        <v>8.3699999999999992</v>
      </c>
    </row>
    <row r="299" spans="1:6" x14ac:dyDescent="0.35">
      <c r="A299" s="10">
        <v>1088</v>
      </c>
      <c r="B299" s="7">
        <v>3</v>
      </c>
      <c r="C299" s="7" t="s">
        <v>135</v>
      </c>
      <c r="D299" s="7">
        <v>1</v>
      </c>
      <c r="E299" s="7" t="s">
        <v>167</v>
      </c>
      <c r="F299" s="9">
        <v>8.3699999999999992</v>
      </c>
    </row>
    <row r="300" spans="1:6" x14ac:dyDescent="0.35">
      <c r="A300" s="10">
        <v>1089</v>
      </c>
      <c r="B300" s="7">
        <v>1</v>
      </c>
      <c r="C300" s="7" t="s">
        <v>98</v>
      </c>
      <c r="D300" s="7">
        <v>5</v>
      </c>
      <c r="E300" s="7" t="s">
        <v>165</v>
      </c>
      <c r="F300" s="9">
        <v>1.67</v>
      </c>
    </row>
    <row r="301" spans="1:6" x14ac:dyDescent="0.35">
      <c r="A301" s="10">
        <v>1089</v>
      </c>
      <c r="B301" s="7">
        <v>2</v>
      </c>
      <c r="C301" s="7" t="s">
        <v>103</v>
      </c>
      <c r="D301" s="7">
        <v>3</v>
      </c>
      <c r="E301" s="7" t="s">
        <v>170</v>
      </c>
      <c r="F301" s="9">
        <v>6.69</v>
      </c>
    </row>
    <row r="302" spans="1:6" x14ac:dyDescent="0.35">
      <c r="A302" s="10">
        <v>1089</v>
      </c>
      <c r="B302" s="7">
        <v>3</v>
      </c>
      <c r="C302" s="7" t="s">
        <v>117</v>
      </c>
      <c r="D302" s="7">
        <v>6</v>
      </c>
      <c r="E302" s="7" t="s">
        <v>165</v>
      </c>
      <c r="F302" s="9">
        <v>1.67</v>
      </c>
    </row>
    <row r="303" spans="1:6" x14ac:dyDescent="0.35">
      <c r="A303" s="10">
        <v>1090</v>
      </c>
      <c r="B303" s="7">
        <v>1</v>
      </c>
      <c r="C303" s="7" t="s">
        <v>108</v>
      </c>
      <c r="D303" s="7">
        <v>5</v>
      </c>
      <c r="E303" s="7" t="s">
        <v>177</v>
      </c>
      <c r="F303" s="9">
        <v>5.0199999999999996</v>
      </c>
    </row>
    <row r="304" spans="1:6" x14ac:dyDescent="0.35">
      <c r="A304" s="10">
        <v>1090</v>
      </c>
      <c r="B304" s="7">
        <v>2</v>
      </c>
      <c r="C304" s="7" t="s">
        <v>118</v>
      </c>
      <c r="D304" s="7">
        <v>1</v>
      </c>
      <c r="E304" s="7" t="s">
        <v>165</v>
      </c>
      <c r="F304" s="9">
        <v>1.67</v>
      </c>
    </row>
    <row r="305" spans="1:6" x14ac:dyDescent="0.35">
      <c r="A305" s="10">
        <v>1091</v>
      </c>
      <c r="B305" s="7">
        <v>1</v>
      </c>
      <c r="C305" s="7" t="s">
        <v>99</v>
      </c>
      <c r="D305" s="7">
        <v>3</v>
      </c>
      <c r="E305" s="7" t="s">
        <v>165</v>
      </c>
      <c r="F305" s="9">
        <v>1.67</v>
      </c>
    </row>
    <row r="306" spans="1:6" x14ac:dyDescent="0.35">
      <c r="A306" s="10">
        <v>1091</v>
      </c>
      <c r="B306" s="7">
        <v>2</v>
      </c>
      <c r="C306" s="7" t="s">
        <v>111</v>
      </c>
      <c r="D306" s="7">
        <v>1</v>
      </c>
      <c r="E306" s="7" t="s">
        <v>179</v>
      </c>
      <c r="F306" s="9">
        <v>5.86</v>
      </c>
    </row>
    <row r="307" spans="1:6" x14ac:dyDescent="0.35">
      <c r="A307" s="10">
        <v>1091</v>
      </c>
      <c r="B307" s="7">
        <v>3</v>
      </c>
      <c r="C307" s="7" t="s">
        <v>92</v>
      </c>
      <c r="D307" s="7">
        <v>5</v>
      </c>
      <c r="E307" s="7" t="s">
        <v>179</v>
      </c>
      <c r="F307" s="9">
        <v>5.86</v>
      </c>
    </row>
    <row r="308" spans="1:6" x14ac:dyDescent="0.35">
      <c r="A308" s="10">
        <v>1091</v>
      </c>
      <c r="B308" s="7">
        <v>4</v>
      </c>
      <c r="C308" s="7" t="s">
        <v>89</v>
      </c>
      <c r="D308" s="7">
        <v>7</v>
      </c>
      <c r="E308" s="7" t="s">
        <v>165</v>
      </c>
      <c r="F308" s="9">
        <v>1.67</v>
      </c>
    </row>
    <row r="309" spans="1:6" x14ac:dyDescent="0.35">
      <c r="A309" s="10">
        <v>1091</v>
      </c>
      <c r="B309" s="7">
        <v>5</v>
      </c>
      <c r="C309" s="7" t="s">
        <v>91</v>
      </c>
      <c r="D309" s="7">
        <v>3</v>
      </c>
      <c r="E309" s="7" t="s">
        <v>170</v>
      </c>
      <c r="F309" s="9">
        <v>6.69</v>
      </c>
    </row>
    <row r="310" spans="1:6" x14ac:dyDescent="0.35">
      <c r="A310" s="10">
        <v>1092</v>
      </c>
      <c r="B310" s="7">
        <v>1</v>
      </c>
      <c r="C310" s="7" t="s">
        <v>148</v>
      </c>
      <c r="D310" s="7">
        <v>4</v>
      </c>
      <c r="E310" s="7" t="s">
        <v>192</v>
      </c>
      <c r="F310" s="9">
        <v>2.09</v>
      </c>
    </row>
    <row r="311" spans="1:6" x14ac:dyDescent="0.35">
      <c r="A311" s="10">
        <v>1092</v>
      </c>
      <c r="B311" s="7">
        <v>2</v>
      </c>
      <c r="C311" s="7" t="s">
        <v>86</v>
      </c>
      <c r="D311" s="7">
        <v>7</v>
      </c>
      <c r="E311" s="7" t="s">
        <v>177</v>
      </c>
      <c r="F311" s="9">
        <v>5.0199999999999996</v>
      </c>
    </row>
    <row r="312" spans="1:6" x14ac:dyDescent="0.35">
      <c r="A312" s="10">
        <v>1093</v>
      </c>
      <c r="B312" s="7">
        <v>1</v>
      </c>
      <c r="C312" s="7" t="s">
        <v>97</v>
      </c>
      <c r="D312" s="7">
        <v>4</v>
      </c>
      <c r="E312" s="7" t="s">
        <v>165</v>
      </c>
      <c r="F312" s="9">
        <v>1.67</v>
      </c>
    </row>
    <row r="313" spans="1:6" x14ac:dyDescent="0.35">
      <c r="A313" s="10">
        <v>1093</v>
      </c>
      <c r="B313" s="7">
        <v>2</v>
      </c>
      <c r="C313" s="7" t="s">
        <v>153</v>
      </c>
      <c r="D313" s="7">
        <v>3</v>
      </c>
      <c r="E313" s="7" t="s">
        <v>179</v>
      </c>
      <c r="F313" s="9">
        <v>5.86</v>
      </c>
    </row>
    <row r="314" spans="1:6" x14ac:dyDescent="0.35">
      <c r="A314" s="10">
        <v>1093</v>
      </c>
      <c r="B314" s="7">
        <v>3</v>
      </c>
      <c r="C314" s="7" t="s">
        <v>91</v>
      </c>
      <c r="D314" s="7">
        <v>1</v>
      </c>
      <c r="E314" s="7" t="s">
        <v>170</v>
      </c>
      <c r="F314" s="9">
        <v>6.69</v>
      </c>
    </row>
    <row r="315" spans="1:6" x14ac:dyDescent="0.35">
      <c r="A315" s="10">
        <v>1093</v>
      </c>
      <c r="B315" s="7">
        <v>4</v>
      </c>
      <c r="C315" s="7" t="s">
        <v>151</v>
      </c>
      <c r="D315" s="7">
        <v>4</v>
      </c>
      <c r="E315" s="7" t="s">
        <v>167</v>
      </c>
      <c r="F315" s="9">
        <v>8.3699999999999992</v>
      </c>
    </row>
    <row r="316" spans="1:6" x14ac:dyDescent="0.35">
      <c r="A316" s="10">
        <v>1093</v>
      </c>
      <c r="B316" s="7">
        <v>5</v>
      </c>
      <c r="C316" s="7" t="s">
        <v>157</v>
      </c>
      <c r="D316" s="7">
        <v>7</v>
      </c>
      <c r="E316" s="7" t="s">
        <v>165</v>
      </c>
      <c r="F316" s="9">
        <v>1.67</v>
      </c>
    </row>
    <row r="317" spans="1:6" x14ac:dyDescent="0.35">
      <c r="A317" s="10">
        <v>1094</v>
      </c>
      <c r="B317" s="7">
        <v>1</v>
      </c>
      <c r="C317" s="7" t="s">
        <v>132</v>
      </c>
      <c r="D317" s="7">
        <v>6</v>
      </c>
      <c r="E317" s="7" t="s">
        <v>170</v>
      </c>
      <c r="F317" s="9">
        <v>6.69</v>
      </c>
    </row>
    <row r="318" spans="1:6" x14ac:dyDescent="0.35">
      <c r="A318" s="10">
        <v>1094</v>
      </c>
      <c r="B318" s="7">
        <v>2</v>
      </c>
      <c r="C318" s="7" t="s">
        <v>140</v>
      </c>
      <c r="D318" s="7">
        <v>4</v>
      </c>
      <c r="E318" s="7" t="s">
        <v>167</v>
      </c>
      <c r="F318" s="9">
        <v>8.3699999999999992</v>
      </c>
    </row>
    <row r="319" spans="1:6" x14ac:dyDescent="0.35">
      <c r="A319" s="10">
        <v>1095</v>
      </c>
      <c r="B319" s="7">
        <v>1</v>
      </c>
      <c r="C319" s="7" t="s">
        <v>126</v>
      </c>
      <c r="D319" s="7">
        <v>3</v>
      </c>
      <c r="E319" s="7" t="s">
        <v>192</v>
      </c>
      <c r="F319" s="9">
        <v>2.09</v>
      </c>
    </row>
    <row r="320" spans="1:6" x14ac:dyDescent="0.35">
      <c r="A320" s="10">
        <v>1095</v>
      </c>
      <c r="B320" s="7">
        <v>2</v>
      </c>
      <c r="C320" s="7" t="s">
        <v>92</v>
      </c>
      <c r="D320" s="7">
        <v>4</v>
      </c>
      <c r="E320" s="7" t="s">
        <v>179</v>
      </c>
      <c r="F320" s="9">
        <v>5.86</v>
      </c>
    </row>
    <row r="321" spans="1:6" x14ac:dyDescent="0.35">
      <c r="A321" s="10">
        <v>1095</v>
      </c>
      <c r="B321" s="7">
        <v>3</v>
      </c>
      <c r="C321" s="7" t="s">
        <v>143</v>
      </c>
      <c r="D321" s="7">
        <v>3</v>
      </c>
      <c r="E321" s="7" t="s">
        <v>167</v>
      </c>
      <c r="F321" s="9">
        <v>8.3699999999999992</v>
      </c>
    </row>
    <row r="322" spans="1:6" x14ac:dyDescent="0.35">
      <c r="A322" s="10">
        <v>1095</v>
      </c>
      <c r="B322" s="7">
        <v>4</v>
      </c>
      <c r="C322" s="7" t="s">
        <v>133</v>
      </c>
      <c r="D322" s="7">
        <v>5</v>
      </c>
      <c r="E322" s="7" t="s">
        <v>175</v>
      </c>
      <c r="F322" s="9">
        <v>4.18</v>
      </c>
    </row>
    <row r="323" spans="1:6" x14ac:dyDescent="0.35">
      <c r="A323" s="10">
        <v>1095</v>
      </c>
      <c r="B323" s="7">
        <v>5</v>
      </c>
      <c r="C323" s="7" t="s">
        <v>138</v>
      </c>
      <c r="D323" s="7">
        <v>2</v>
      </c>
      <c r="E323" s="7" t="s">
        <v>175</v>
      </c>
      <c r="F323" s="9">
        <v>4.18</v>
      </c>
    </row>
    <row r="324" spans="1:6" x14ac:dyDescent="0.35">
      <c r="A324" s="10">
        <v>1096</v>
      </c>
      <c r="B324" s="7">
        <v>1</v>
      </c>
      <c r="C324" s="7" t="s">
        <v>150</v>
      </c>
      <c r="D324" s="7">
        <v>3</v>
      </c>
      <c r="E324" s="7" t="s">
        <v>167</v>
      </c>
      <c r="F324" s="9">
        <v>8.3699999999999992</v>
      </c>
    </row>
    <row r="325" spans="1:6" x14ac:dyDescent="0.35">
      <c r="A325" s="10">
        <v>1096</v>
      </c>
      <c r="B325" s="7">
        <v>2</v>
      </c>
      <c r="C325" s="7" t="s">
        <v>156</v>
      </c>
      <c r="D325" s="7">
        <v>6</v>
      </c>
      <c r="E325" s="7" t="s">
        <v>165</v>
      </c>
      <c r="F325" s="9">
        <v>1.67</v>
      </c>
    </row>
    <row r="326" spans="1:6" x14ac:dyDescent="0.35">
      <c r="A326" s="10">
        <v>1096</v>
      </c>
      <c r="B326" s="7">
        <v>3</v>
      </c>
      <c r="C326" s="7" t="s">
        <v>144</v>
      </c>
      <c r="D326" s="7">
        <v>4</v>
      </c>
      <c r="E326" s="7" t="s">
        <v>177</v>
      </c>
      <c r="F326" s="9">
        <v>5.0199999999999996</v>
      </c>
    </row>
    <row r="327" spans="1:6" x14ac:dyDescent="0.35">
      <c r="A327" s="10">
        <v>1097</v>
      </c>
      <c r="B327" s="7">
        <v>1</v>
      </c>
      <c r="C327" s="7" t="s">
        <v>73</v>
      </c>
      <c r="D327" s="7">
        <v>2</v>
      </c>
      <c r="E327" s="7" t="s">
        <v>165</v>
      </c>
      <c r="F327" s="9">
        <v>1.67</v>
      </c>
    </row>
    <row r="328" spans="1:6" x14ac:dyDescent="0.35">
      <c r="A328" s="10">
        <v>1097</v>
      </c>
      <c r="B328" s="7">
        <v>2</v>
      </c>
      <c r="C328" s="7" t="s">
        <v>154</v>
      </c>
      <c r="D328" s="7">
        <v>1</v>
      </c>
      <c r="E328" s="7" t="s">
        <v>167</v>
      </c>
      <c r="F328" s="9">
        <v>8.3699999999999992</v>
      </c>
    </row>
    <row r="329" spans="1:6" x14ac:dyDescent="0.35">
      <c r="A329" s="10">
        <v>1098</v>
      </c>
      <c r="B329" s="7">
        <v>1</v>
      </c>
      <c r="C329" s="7" t="s">
        <v>141</v>
      </c>
      <c r="D329" s="7">
        <v>2</v>
      </c>
      <c r="E329" s="7" t="s">
        <v>170</v>
      </c>
      <c r="F329" s="9">
        <v>6.69</v>
      </c>
    </row>
    <row r="330" spans="1:6" x14ac:dyDescent="0.35">
      <c r="A330" s="10">
        <v>1098</v>
      </c>
      <c r="B330" s="7">
        <v>2</v>
      </c>
      <c r="C330" s="7" t="s">
        <v>74</v>
      </c>
      <c r="D330" s="7">
        <v>3</v>
      </c>
      <c r="E330" s="7" t="s">
        <v>165</v>
      </c>
      <c r="F330" s="9">
        <v>1.67</v>
      </c>
    </row>
    <row r="331" spans="1:6" x14ac:dyDescent="0.35">
      <c r="A331" s="10">
        <v>1098</v>
      </c>
      <c r="B331" s="7">
        <v>3</v>
      </c>
      <c r="C331" s="7" t="s">
        <v>93</v>
      </c>
      <c r="D331" s="7">
        <v>2</v>
      </c>
      <c r="E331" s="7" t="s">
        <v>175</v>
      </c>
      <c r="F331" s="9">
        <v>4.18</v>
      </c>
    </row>
    <row r="332" spans="1:6" x14ac:dyDescent="0.35">
      <c r="A332" s="10">
        <v>1099</v>
      </c>
      <c r="B332" s="7">
        <v>1</v>
      </c>
      <c r="C332" s="7" t="s">
        <v>86</v>
      </c>
      <c r="D332" s="7">
        <v>1</v>
      </c>
      <c r="E332" s="7" t="s">
        <v>177</v>
      </c>
      <c r="F332" s="9">
        <v>5.0199999999999996</v>
      </c>
    </row>
    <row r="333" spans="1:6" x14ac:dyDescent="0.35">
      <c r="A333" s="10">
        <v>1099</v>
      </c>
      <c r="B333" s="7">
        <v>2</v>
      </c>
      <c r="C333" s="7" t="s">
        <v>72</v>
      </c>
      <c r="D333" s="7">
        <v>2</v>
      </c>
      <c r="E333" s="7" t="s">
        <v>165</v>
      </c>
      <c r="F333" s="9">
        <v>1.67</v>
      </c>
    </row>
    <row r="334" spans="1:6" x14ac:dyDescent="0.35">
      <c r="A334" s="10">
        <v>1099</v>
      </c>
      <c r="B334" s="7">
        <v>3</v>
      </c>
      <c r="C334" s="7" t="s">
        <v>98</v>
      </c>
      <c r="D334" s="7">
        <v>5</v>
      </c>
      <c r="E334" s="7" t="s">
        <v>165</v>
      </c>
      <c r="F334" s="9">
        <v>1.67</v>
      </c>
    </row>
    <row r="335" spans="1:6" x14ac:dyDescent="0.35">
      <c r="A335" s="10">
        <v>1100</v>
      </c>
      <c r="B335" s="7">
        <v>1</v>
      </c>
      <c r="C335" s="7" t="s">
        <v>76</v>
      </c>
      <c r="D335" s="7">
        <v>2</v>
      </c>
      <c r="E335" s="7" t="s">
        <v>179</v>
      </c>
      <c r="F335" s="9">
        <v>5.86</v>
      </c>
    </row>
    <row r="336" spans="1:6" x14ac:dyDescent="0.35">
      <c r="A336" s="10">
        <v>1100</v>
      </c>
      <c r="B336" s="7">
        <v>2</v>
      </c>
      <c r="C336" s="7" t="s">
        <v>88</v>
      </c>
      <c r="D336" s="7">
        <v>5</v>
      </c>
      <c r="E336" s="7" t="s">
        <v>175</v>
      </c>
      <c r="F336" s="9">
        <v>4.18</v>
      </c>
    </row>
    <row r="337" spans="1:6" x14ac:dyDescent="0.35">
      <c r="A337" s="10">
        <v>1100</v>
      </c>
      <c r="B337" s="7">
        <v>3</v>
      </c>
      <c r="C337" s="7" t="s">
        <v>99</v>
      </c>
      <c r="D337" s="7">
        <v>7</v>
      </c>
      <c r="E337" s="7" t="s">
        <v>165</v>
      </c>
      <c r="F337" s="9">
        <v>1.67</v>
      </c>
    </row>
    <row r="338" spans="1:6" x14ac:dyDescent="0.35">
      <c r="A338" s="10">
        <v>1100</v>
      </c>
      <c r="B338" s="7">
        <v>4</v>
      </c>
      <c r="C338" s="7" t="s">
        <v>105</v>
      </c>
      <c r="D338" s="7">
        <v>5</v>
      </c>
      <c r="E338" s="7" t="s">
        <v>165</v>
      </c>
      <c r="F338" s="9">
        <v>1.67</v>
      </c>
    </row>
    <row r="339" spans="1:6" x14ac:dyDescent="0.35">
      <c r="A339" s="10">
        <v>1101</v>
      </c>
      <c r="B339" s="7">
        <v>1</v>
      </c>
      <c r="C339" s="7" t="s">
        <v>125</v>
      </c>
      <c r="D339" s="7">
        <v>3</v>
      </c>
      <c r="E339" s="7" t="s">
        <v>170</v>
      </c>
      <c r="F339" s="9">
        <v>6.69</v>
      </c>
    </row>
    <row r="340" spans="1:6" x14ac:dyDescent="0.35">
      <c r="A340" s="10">
        <v>1101</v>
      </c>
      <c r="B340" s="7">
        <v>2</v>
      </c>
      <c r="C340" s="7" t="s">
        <v>140</v>
      </c>
      <c r="D340" s="7">
        <v>2</v>
      </c>
      <c r="E340" s="7" t="s">
        <v>167</v>
      </c>
      <c r="F340" s="9">
        <v>8.3699999999999992</v>
      </c>
    </row>
    <row r="341" spans="1:6" x14ac:dyDescent="0.35">
      <c r="A341" s="10">
        <v>1102</v>
      </c>
      <c r="B341" s="7">
        <v>1</v>
      </c>
      <c r="C341" s="7" t="s">
        <v>88</v>
      </c>
      <c r="D341" s="7">
        <v>3</v>
      </c>
      <c r="E341" s="7" t="s">
        <v>175</v>
      </c>
      <c r="F341" s="9">
        <v>4.18</v>
      </c>
    </row>
    <row r="342" spans="1:6" x14ac:dyDescent="0.35">
      <c r="A342" s="10">
        <v>1102</v>
      </c>
      <c r="B342" s="7">
        <v>2</v>
      </c>
      <c r="C342" s="7" t="s">
        <v>135</v>
      </c>
      <c r="D342" s="7">
        <v>4</v>
      </c>
      <c r="E342" s="7" t="s">
        <v>167</v>
      </c>
      <c r="F342" s="9">
        <v>8.3699999999999992</v>
      </c>
    </row>
    <row r="343" spans="1:6" x14ac:dyDescent="0.35">
      <c r="A343" s="10">
        <v>1103</v>
      </c>
      <c r="B343" s="7">
        <v>1</v>
      </c>
      <c r="C343" s="7" t="s">
        <v>106</v>
      </c>
      <c r="D343" s="7">
        <v>7</v>
      </c>
      <c r="E343" s="7" t="s">
        <v>167</v>
      </c>
      <c r="F343" s="9">
        <v>8.3699999999999992</v>
      </c>
    </row>
    <row r="344" spans="1:6" x14ac:dyDescent="0.35">
      <c r="A344" s="10">
        <v>1103</v>
      </c>
      <c r="B344" s="7">
        <v>2</v>
      </c>
      <c r="C344" s="7" t="s">
        <v>137</v>
      </c>
      <c r="D344" s="7">
        <v>3</v>
      </c>
      <c r="E344" s="7" t="s">
        <v>165</v>
      </c>
      <c r="F344" s="9">
        <v>1.67</v>
      </c>
    </row>
    <row r="345" spans="1:6" x14ac:dyDescent="0.35">
      <c r="A345" s="10">
        <v>1103</v>
      </c>
      <c r="B345" s="7">
        <v>3</v>
      </c>
      <c r="C345" s="7" t="s">
        <v>91</v>
      </c>
      <c r="D345" s="7">
        <v>2</v>
      </c>
      <c r="E345" s="7" t="s">
        <v>170</v>
      </c>
      <c r="F345" s="9">
        <v>6.69</v>
      </c>
    </row>
    <row r="346" spans="1:6" x14ac:dyDescent="0.35">
      <c r="A346" s="10">
        <v>1104</v>
      </c>
      <c r="B346" s="7">
        <v>1</v>
      </c>
      <c r="C346" s="7" t="s">
        <v>91</v>
      </c>
      <c r="D346" s="7">
        <v>5</v>
      </c>
      <c r="E346" s="7" t="s">
        <v>170</v>
      </c>
      <c r="F346" s="9">
        <v>6.69</v>
      </c>
    </row>
    <row r="347" spans="1:6" x14ac:dyDescent="0.35">
      <c r="A347" s="10">
        <v>1104</v>
      </c>
      <c r="B347" s="7">
        <v>2</v>
      </c>
      <c r="C347" s="7" t="s">
        <v>147</v>
      </c>
      <c r="D347" s="7">
        <v>6</v>
      </c>
      <c r="E347" s="7" t="s">
        <v>179</v>
      </c>
      <c r="F347" s="9">
        <v>5.86</v>
      </c>
    </row>
    <row r="348" spans="1:6" x14ac:dyDescent="0.35">
      <c r="A348" s="10">
        <v>1104</v>
      </c>
      <c r="B348" s="7">
        <v>3</v>
      </c>
      <c r="C348" s="7" t="s">
        <v>116</v>
      </c>
      <c r="D348" s="7">
        <v>6</v>
      </c>
      <c r="E348" s="7" t="s">
        <v>165</v>
      </c>
      <c r="F348" s="9">
        <v>1.67</v>
      </c>
    </row>
    <row r="349" spans="1:6" x14ac:dyDescent="0.35">
      <c r="A349" s="10">
        <v>1104</v>
      </c>
      <c r="B349" s="7">
        <v>4</v>
      </c>
      <c r="C349" s="7" t="s">
        <v>138</v>
      </c>
      <c r="D349" s="7">
        <v>5</v>
      </c>
      <c r="E349" s="7" t="s">
        <v>175</v>
      </c>
      <c r="F349" s="9">
        <v>4.18</v>
      </c>
    </row>
    <row r="350" spans="1:6" x14ac:dyDescent="0.35">
      <c r="A350" s="10">
        <v>1105</v>
      </c>
      <c r="B350" s="7">
        <v>1</v>
      </c>
      <c r="C350" s="7" t="s">
        <v>113</v>
      </c>
      <c r="D350" s="7">
        <v>6</v>
      </c>
      <c r="E350" s="7" t="s">
        <v>177</v>
      </c>
      <c r="F350" s="9">
        <v>5.0199999999999996</v>
      </c>
    </row>
    <row r="351" spans="1:6" x14ac:dyDescent="0.35">
      <c r="A351" s="10">
        <v>1105</v>
      </c>
      <c r="B351" s="7">
        <v>2</v>
      </c>
      <c r="C351" s="7" t="s">
        <v>72</v>
      </c>
      <c r="D351" s="7">
        <v>3</v>
      </c>
      <c r="E351" s="7" t="s">
        <v>165</v>
      </c>
      <c r="F351" s="9">
        <v>1.67</v>
      </c>
    </row>
    <row r="352" spans="1:6" x14ac:dyDescent="0.35">
      <c r="A352" s="10">
        <v>1105</v>
      </c>
      <c r="B352" s="7">
        <v>3</v>
      </c>
      <c r="C352" s="7" t="s">
        <v>85</v>
      </c>
      <c r="D352" s="7">
        <v>2</v>
      </c>
      <c r="E352" s="7" t="s">
        <v>165</v>
      </c>
      <c r="F352" s="9">
        <v>1.67</v>
      </c>
    </row>
    <row r="353" spans="1:6" x14ac:dyDescent="0.35">
      <c r="A353" s="10">
        <v>1106</v>
      </c>
      <c r="B353" s="7">
        <v>1</v>
      </c>
      <c r="C353" s="7" t="s">
        <v>81</v>
      </c>
      <c r="D353" s="7">
        <v>2</v>
      </c>
      <c r="E353" s="7" t="s">
        <v>177</v>
      </c>
      <c r="F353" s="9">
        <v>5.0199999999999996</v>
      </c>
    </row>
    <row r="354" spans="1:6" x14ac:dyDescent="0.35">
      <c r="A354" s="10">
        <v>1106</v>
      </c>
      <c r="B354" s="7">
        <v>2</v>
      </c>
      <c r="C354" s="7" t="s">
        <v>128</v>
      </c>
      <c r="D354" s="7">
        <v>2</v>
      </c>
      <c r="E354" s="7" t="s">
        <v>177</v>
      </c>
      <c r="F354" s="9">
        <v>5.0199999999999996</v>
      </c>
    </row>
    <row r="355" spans="1:6" x14ac:dyDescent="0.35">
      <c r="A355" s="10">
        <v>1106</v>
      </c>
      <c r="B355" s="7">
        <v>3</v>
      </c>
      <c r="C355" s="7" t="s">
        <v>135</v>
      </c>
      <c r="D355" s="7">
        <v>5</v>
      </c>
      <c r="E355" s="7" t="s">
        <v>167</v>
      </c>
      <c r="F355" s="9">
        <v>8.3699999999999992</v>
      </c>
    </row>
    <row r="356" spans="1:6" x14ac:dyDescent="0.35">
      <c r="A356" s="10">
        <v>1106</v>
      </c>
      <c r="B356" s="7">
        <v>4</v>
      </c>
      <c r="C356" s="7" t="s">
        <v>147</v>
      </c>
      <c r="D356" s="7">
        <v>2</v>
      </c>
      <c r="E356" s="7" t="s">
        <v>179</v>
      </c>
      <c r="F356" s="9">
        <v>5.86</v>
      </c>
    </row>
    <row r="357" spans="1:6" x14ac:dyDescent="0.35">
      <c r="A357" s="10">
        <v>1106</v>
      </c>
      <c r="B357" s="7">
        <v>5</v>
      </c>
      <c r="C357" s="7" t="s">
        <v>76</v>
      </c>
      <c r="D357" s="7">
        <v>6</v>
      </c>
      <c r="E357" s="7" t="s">
        <v>179</v>
      </c>
      <c r="F357" s="9">
        <v>5.86</v>
      </c>
    </row>
    <row r="358" spans="1:6" x14ac:dyDescent="0.35">
      <c r="A358" s="10">
        <v>1107</v>
      </c>
      <c r="B358" s="7">
        <v>1</v>
      </c>
      <c r="C358" s="7" t="s">
        <v>110</v>
      </c>
      <c r="D358" s="7">
        <v>2</v>
      </c>
      <c r="E358" s="7" t="s">
        <v>197</v>
      </c>
      <c r="F358" s="9">
        <v>3.76</v>
      </c>
    </row>
    <row r="359" spans="1:6" x14ac:dyDescent="0.35">
      <c r="A359" s="10">
        <v>1107</v>
      </c>
      <c r="B359" s="7">
        <v>2</v>
      </c>
      <c r="C359" s="7" t="s">
        <v>70</v>
      </c>
      <c r="D359" s="7">
        <v>7</v>
      </c>
      <c r="E359" s="7" t="s">
        <v>179</v>
      </c>
      <c r="F359" s="9">
        <v>5.86</v>
      </c>
    </row>
    <row r="360" spans="1:6" x14ac:dyDescent="0.35">
      <c r="A360" s="10">
        <v>1107</v>
      </c>
      <c r="B360" s="7">
        <v>3</v>
      </c>
      <c r="C360" s="7" t="s">
        <v>147</v>
      </c>
      <c r="D360" s="7">
        <v>4</v>
      </c>
      <c r="E360" s="7" t="s">
        <v>179</v>
      </c>
      <c r="F360" s="9">
        <v>5.86</v>
      </c>
    </row>
    <row r="361" spans="1:6" x14ac:dyDescent="0.35">
      <c r="A361" s="10">
        <v>1108</v>
      </c>
      <c r="B361" s="7">
        <v>1</v>
      </c>
      <c r="C361" s="7" t="s">
        <v>88</v>
      </c>
      <c r="D361" s="7">
        <v>3</v>
      </c>
      <c r="E361" s="7" t="s">
        <v>175</v>
      </c>
      <c r="F361" s="9">
        <v>4.18</v>
      </c>
    </row>
    <row r="362" spans="1:6" x14ac:dyDescent="0.35">
      <c r="A362" s="10">
        <v>1108</v>
      </c>
      <c r="B362" s="7">
        <v>2</v>
      </c>
      <c r="C362" s="7" t="s">
        <v>76</v>
      </c>
      <c r="D362" s="7">
        <v>7</v>
      </c>
      <c r="E362" s="7" t="s">
        <v>179</v>
      </c>
      <c r="F362" s="9">
        <v>5.86</v>
      </c>
    </row>
    <row r="363" spans="1:6" x14ac:dyDescent="0.35">
      <c r="A363" s="10">
        <v>1108</v>
      </c>
      <c r="B363" s="7">
        <v>3</v>
      </c>
      <c r="C363" s="7" t="s">
        <v>143</v>
      </c>
      <c r="D363" s="7">
        <v>2</v>
      </c>
      <c r="E363" s="7" t="s">
        <v>167</v>
      </c>
      <c r="F363" s="9">
        <v>8.3699999999999992</v>
      </c>
    </row>
    <row r="364" spans="1:6" x14ac:dyDescent="0.35">
      <c r="A364" s="10">
        <v>1109</v>
      </c>
      <c r="B364" s="7">
        <v>1</v>
      </c>
      <c r="C364" s="7" t="s">
        <v>123</v>
      </c>
      <c r="D364" s="7">
        <v>3</v>
      </c>
      <c r="E364" s="7" t="s">
        <v>179</v>
      </c>
      <c r="F364" s="9">
        <v>5.86</v>
      </c>
    </row>
    <row r="365" spans="1:6" x14ac:dyDescent="0.35">
      <c r="A365" s="10">
        <v>1109</v>
      </c>
      <c r="B365" s="7">
        <v>2</v>
      </c>
      <c r="C365" s="7" t="s">
        <v>108</v>
      </c>
      <c r="D365" s="7">
        <v>4</v>
      </c>
      <c r="E365" s="7" t="s">
        <v>177</v>
      </c>
      <c r="F365" s="9">
        <v>5.0199999999999996</v>
      </c>
    </row>
    <row r="366" spans="1:6" x14ac:dyDescent="0.35">
      <c r="A366" s="10">
        <v>1109</v>
      </c>
      <c r="B366" s="7">
        <v>3</v>
      </c>
      <c r="C366" s="7" t="s">
        <v>149</v>
      </c>
      <c r="D366" s="7">
        <v>5</v>
      </c>
      <c r="E366" s="7" t="s">
        <v>175</v>
      </c>
      <c r="F366" s="9">
        <v>4.18</v>
      </c>
    </row>
    <row r="367" spans="1:6" x14ac:dyDescent="0.35">
      <c r="A367" s="10">
        <v>1109</v>
      </c>
      <c r="B367" s="7">
        <v>4</v>
      </c>
      <c r="C367" s="7" t="s">
        <v>142</v>
      </c>
      <c r="D367" s="7">
        <v>3</v>
      </c>
      <c r="E367" s="7" t="s">
        <v>192</v>
      </c>
      <c r="F367" s="9">
        <v>2.09</v>
      </c>
    </row>
    <row r="368" spans="1:6" x14ac:dyDescent="0.35">
      <c r="A368" s="10">
        <v>1110</v>
      </c>
      <c r="B368" s="7">
        <v>1</v>
      </c>
      <c r="C368" s="7" t="s">
        <v>111</v>
      </c>
      <c r="D368" s="7">
        <v>7</v>
      </c>
      <c r="E368" s="7" t="s">
        <v>179</v>
      </c>
      <c r="F368" s="9">
        <v>5.86</v>
      </c>
    </row>
    <row r="369" spans="1:6" x14ac:dyDescent="0.35">
      <c r="A369" s="10">
        <v>1110</v>
      </c>
      <c r="B369" s="7">
        <v>2</v>
      </c>
      <c r="C369" s="7" t="s">
        <v>77</v>
      </c>
      <c r="D369" s="7">
        <v>3</v>
      </c>
      <c r="E369" s="7" t="s">
        <v>165</v>
      </c>
      <c r="F369" s="9">
        <v>1.67</v>
      </c>
    </row>
    <row r="370" spans="1:6" x14ac:dyDescent="0.35">
      <c r="A370" s="10">
        <v>1110</v>
      </c>
      <c r="B370" s="7">
        <v>3</v>
      </c>
      <c r="C370" s="7" t="s">
        <v>136</v>
      </c>
      <c r="D370" s="7">
        <v>7</v>
      </c>
      <c r="E370" s="7" t="s">
        <v>177</v>
      </c>
      <c r="F370" s="9">
        <v>5.0199999999999996</v>
      </c>
    </row>
    <row r="371" spans="1:6" x14ac:dyDescent="0.35">
      <c r="A371" s="10">
        <v>1110</v>
      </c>
      <c r="B371" s="7">
        <v>4</v>
      </c>
      <c r="C371" s="7" t="s">
        <v>156</v>
      </c>
      <c r="D371" s="7">
        <v>3</v>
      </c>
      <c r="E371" s="7" t="s">
        <v>165</v>
      </c>
      <c r="F371" s="9">
        <v>1.67</v>
      </c>
    </row>
    <row r="372" spans="1:6" x14ac:dyDescent="0.35">
      <c r="A372" s="10">
        <v>1110</v>
      </c>
      <c r="B372" s="7">
        <v>5</v>
      </c>
      <c r="C372" s="7" t="s">
        <v>48</v>
      </c>
      <c r="D372" s="7">
        <v>4</v>
      </c>
      <c r="E372" s="7" t="s">
        <v>165</v>
      </c>
      <c r="F372" s="9">
        <v>1.67</v>
      </c>
    </row>
    <row r="373" spans="1:6" x14ac:dyDescent="0.35">
      <c r="A373" s="10">
        <v>1111</v>
      </c>
      <c r="B373" s="7">
        <v>1</v>
      </c>
      <c r="C373" s="7" t="s">
        <v>130</v>
      </c>
      <c r="D373" s="7">
        <v>1</v>
      </c>
      <c r="E373" s="7" t="s">
        <v>165</v>
      </c>
      <c r="F373" s="9">
        <v>1.67</v>
      </c>
    </row>
    <row r="374" spans="1:6" x14ac:dyDescent="0.35">
      <c r="A374" s="10">
        <v>1111</v>
      </c>
      <c r="B374" s="7">
        <v>2</v>
      </c>
      <c r="C374" s="7" t="s">
        <v>154</v>
      </c>
      <c r="D374" s="7">
        <v>5</v>
      </c>
      <c r="E374" s="7" t="s">
        <v>167</v>
      </c>
      <c r="F374" s="9">
        <v>8.3699999999999992</v>
      </c>
    </row>
    <row r="375" spans="1:6" x14ac:dyDescent="0.35">
      <c r="A375" s="10">
        <v>1111</v>
      </c>
      <c r="B375" s="7">
        <v>3</v>
      </c>
      <c r="C375" s="7" t="s">
        <v>152</v>
      </c>
      <c r="D375" s="7">
        <v>5</v>
      </c>
      <c r="E375" s="7" t="s">
        <v>177</v>
      </c>
      <c r="F375" s="9">
        <v>5.0199999999999996</v>
      </c>
    </row>
    <row r="376" spans="1:6" x14ac:dyDescent="0.35">
      <c r="A376" s="10">
        <v>1112</v>
      </c>
      <c r="B376" s="7">
        <v>1</v>
      </c>
      <c r="C376" s="7" t="s">
        <v>51</v>
      </c>
      <c r="D376" s="7">
        <v>5</v>
      </c>
      <c r="E376" s="7" t="s">
        <v>167</v>
      </c>
      <c r="F376" s="9">
        <v>8.3699999999999992</v>
      </c>
    </row>
    <row r="377" spans="1:6" x14ac:dyDescent="0.35">
      <c r="A377" s="10">
        <v>1112</v>
      </c>
      <c r="B377" s="7">
        <v>2</v>
      </c>
      <c r="C377" s="7" t="s">
        <v>110</v>
      </c>
      <c r="D377" s="7">
        <v>1</v>
      </c>
      <c r="E377" s="7" t="s">
        <v>197</v>
      </c>
      <c r="F377" s="9">
        <v>3.76</v>
      </c>
    </row>
    <row r="378" spans="1:6" x14ac:dyDescent="0.35">
      <c r="A378" s="10">
        <v>1112</v>
      </c>
      <c r="B378" s="7">
        <v>3</v>
      </c>
      <c r="C378" s="7" t="s">
        <v>109</v>
      </c>
      <c r="D378" s="7">
        <v>4</v>
      </c>
      <c r="E378" s="7" t="s">
        <v>179</v>
      </c>
      <c r="F378" s="9">
        <v>5.86</v>
      </c>
    </row>
    <row r="379" spans="1:6" x14ac:dyDescent="0.35">
      <c r="A379" s="10">
        <v>1113</v>
      </c>
      <c r="B379" s="7">
        <v>1</v>
      </c>
      <c r="C379" s="7" t="s">
        <v>122</v>
      </c>
      <c r="D379" s="7">
        <v>5</v>
      </c>
      <c r="E379" s="7" t="s">
        <v>167</v>
      </c>
      <c r="F379" s="9">
        <v>8.3699999999999992</v>
      </c>
    </row>
    <row r="380" spans="1:6" x14ac:dyDescent="0.35">
      <c r="A380" s="10">
        <v>1113</v>
      </c>
      <c r="B380" s="7">
        <v>2</v>
      </c>
      <c r="C380" s="7" t="s">
        <v>134</v>
      </c>
      <c r="D380" s="7">
        <v>5</v>
      </c>
      <c r="E380" s="7" t="s">
        <v>177</v>
      </c>
      <c r="F380" s="9">
        <v>5.0199999999999996</v>
      </c>
    </row>
    <row r="381" spans="1:6" x14ac:dyDescent="0.35">
      <c r="A381" s="10">
        <v>1113</v>
      </c>
      <c r="B381" s="7">
        <v>3</v>
      </c>
      <c r="C381" s="7" t="s">
        <v>103</v>
      </c>
      <c r="D381" s="7">
        <v>4</v>
      </c>
      <c r="E381" s="7" t="s">
        <v>170</v>
      </c>
      <c r="F381" s="9">
        <v>6.69</v>
      </c>
    </row>
    <row r="382" spans="1:6" x14ac:dyDescent="0.35">
      <c r="A382" s="10">
        <v>1113</v>
      </c>
      <c r="B382" s="7">
        <v>4</v>
      </c>
      <c r="C382" s="7" t="s">
        <v>152</v>
      </c>
      <c r="D382" s="7">
        <v>5</v>
      </c>
      <c r="E382" s="7" t="s">
        <v>177</v>
      </c>
      <c r="F382" s="9">
        <v>5.0199999999999996</v>
      </c>
    </row>
    <row r="383" spans="1:6" x14ac:dyDescent="0.35">
      <c r="A383" s="10">
        <v>1114</v>
      </c>
      <c r="B383" s="7">
        <v>1</v>
      </c>
      <c r="C383" s="7" t="s">
        <v>71</v>
      </c>
      <c r="D383" s="7">
        <v>6</v>
      </c>
      <c r="E383" s="7" t="s">
        <v>165</v>
      </c>
      <c r="F383" s="9">
        <v>1.67</v>
      </c>
    </row>
    <row r="384" spans="1:6" x14ac:dyDescent="0.35">
      <c r="A384" s="10">
        <v>1114</v>
      </c>
      <c r="B384" s="7">
        <v>2</v>
      </c>
      <c r="C384" s="7" t="s">
        <v>84</v>
      </c>
      <c r="D384" s="7">
        <v>3</v>
      </c>
      <c r="E384" s="7" t="s">
        <v>192</v>
      </c>
      <c r="F384" s="9">
        <v>2.09</v>
      </c>
    </row>
    <row r="385" spans="1:6" x14ac:dyDescent="0.35">
      <c r="A385" s="10">
        <v>1115</v>
      </c>
      <c r="B385" s="7">
        <v>1</v>
      </c>
      <c r="C385" s="7" t="s">
        <v>154</v>
      </c>
      <c r="D385" s="7">
        <v>7</v>
      </c>
      <c r="E385" s="7" t="s">
        <v>167</v>
      </c>
      <c r="F385" s="9">
        <v>8.3699999999999992</v>
      </c>
    </row>
    <row r="386" spans="1:6" x14ac:dyDescent="0.35">
      <c r="A386" s="10">
        <v>1115</v>
      </c>
      <c r="B386" s="7">
        <v>2</v>
      </c>
      <c r="C386" s="7" t="s">
        <v>96</v>
      </c>
      <c r="D386" s="7">
        <v>2</v>
      </c>
      <c r="E386" s="7" t="s">
        <v>179</v>
      </c>
      <c r="F386" s="9">
        <v>5.86</v>
      </c>
    </row>
    <row r="387" spans="1:6" x14ac:dyDescent="0.35">
      <c r="A387" s="10">
        <v>1115</v>
      </c>
      <c r="B387" s="7">
        <v>3</v>
      </c>
      <c r="C387" s="7" t="s">
        <v>57</v>
      </c>
      <c r="D387" s="7">
        <v>6</v>
      </c>
      <c r="E387" s="7" t="s">
        <v>170</v>
      </c>
      <c r="F387" s="9">
        <v>6.69</v>
      </c>
    </row>
    <row r="388" spans="1:6" x14ac:dyDescent="0.35">
      <c r="A388" s="10">
        <v>1115</v>
      </c>
      <c r="B388" s="7">
        <v>4</v>
      </c>
      <c r="C388" s="7" t="s">
        <v>97</v>
      </c>
      <c r="D388" s="7">
        <v>4</v>
      </c>
      <c r="E388" s="7" t="s">
        <v>165</v>
      </c>
      <c r="F388" s="9">
        <v>1.67</v>
      </c>
    </row>
    <row r="389" spans="1:6" x14ac:dyDescent="0.35">
      <c r="A389" s="10">
        <v>1115</v>
      </c>
      <c r="B389" s="7">
        <v>5</v>
      </c>
      <c r="C389" s="7" t="s">
        <v>134</v>
      </c>
      <c r="D389" s="7">
        <v>4</v>
      </c>
      <c r="E389" s="7" t="s">
        <v>177</v>
      </c>
      <c r="F389" s="9">
        <v>5.0199999999999996</v>
      </c>
    </row>
    <row r="390" spans="1:6" x14ac:dyDescent="0.35">
      <c r="A390" s="10">
        <v>1116</v>
      </c>
      <c r="B390" s="7">
        <v>1</v>
      </c>
      <c r="C390" s="7" t="s">
        <v>140</v>
      </c>
      <c r="D390" s="7">
        <v>4</v>
      </c>
      <c r="E390" s="7" t="s">
        <v>167</v>
      </c>
      <c r="F390" s="9">
        <v>8.3699999999999992</v>
      </c>
    </row>
    <row r="391" spans="1:6" x14ac:dyDescent="0.35">
      <c r="A391" s="10">
        <v>1116</v>
      </c>
      <c r="B391" s="7">
        <v>2</v>
      </c>
      <c r="C391" s="7" t="s">
        <v>83</v>
      </c>
      <c r="D391" s="7">
        <v>6</v>
      </c>
      <c r="E391" s="7" t="s">
        <v>197</v>
      </c>
      <c r="F391" s="9">
        <v>3.76</v>
      </c>
    </row>
    <row r="392" spans="1:6" x14ac:dyDescent="0.35">
      <c r="A392" s="10">
        <v>1117</v>
      </c>
      <c r="B392" s="7">
        <v>1</v>
      </c>
      <c r="C392" s="7" t="s">
        <v>149</v>
      </c>
      <c r="D392" s="7">
        <v>4</v>
      </c>
      <c r="E392" s="7" t="s">
        <v>175</v>
      </c>
      <c r="F392" s="9">
        <v>4.18</v>
      </c>
    </row>
    <row r="393" spans="1:6" x14ac:dyDescent="0.35">
      <c r="A393" s="10">
        <v>1117</v>
      </c>
      <c r="B393" s="7">
        <v>2</v>
      </c>
      <c r="C393" s="7" t="s">
        <v>109</v>
      </c>
      <c r="D393" s="7">
        <v>1</v>
      </c>
      <c r="E393" s="7" t="s">
        <v>179</v>
      </c>
      <c r="F393" s="9">
        <v>5.86</v>
      </c>
    </row>
    <row r="394" spans="1:6" x14ac:dyDescent="0.35">
      <c r="A394" s="10">
        <v>1117</v>
      </c>
      <c r="B394" s="7">
        <v>3</v>
      </c>
      <c r="C394" s="7" t="s">
        <v>153</v>
      </c>
      <c r="D394" s="7">
        <v>3</v>
      </c>
      <c r="E394" s="7" t="s">
        <v>179</v>
      </c>
      <c r="F394" s="9">
        <v>5.86</v>
      </c>
    </row>
    <row r="395" spans="1:6" x14ac:dyDescent="0.35">
      <c r="A395" s="10">
        <v>1117</v>
      </c>
      <c r="B395" s="7">
        <v>4</v>
      </c>
      <c r="C395" s="7" t="s">
        <v>122</v>
      </c>
      <c r="D395" s="7">
        <v>6</v>
      </c>
      <c r="E395" s="7" t="s">
        <v>167</v>
      </c>
      <c r="F395" s="9">
        <v>8.3699999999999992</v>
      </c>
    </row>
    <row r="396" spans="1:6" x14ac:dyDescent="0.35">
      <c r="A396" s="10">
        <v>1118</v>
      </c>
      <c r="B396" s="7">
        <v>1</v>
      </c>
      <c r="C396" s="7" t="s">
        <v>118</v>
      </c>
      <c r="D396" s="7">
        <v>5</v>
      </c>
      <c r="E396" s="7" t="s">
        <v>165</v>
      </c>
      <c r="F396" s="9">
        <v>1.67</v>
      </c>
    </row>
    <row r="397" spans="1:6" x14ac:dyDescent="0.35">
      <c r="A397" s="10">
        <v>1118</v>
      </c>
      <c r="B397" s="7">
        <v>2</v>
      </c>
      <c r="C397" s="7" t="s">
        <v>146</v>
      </c>
      <c r="D397" s="7">
        <v>6</v>
      </c>
      <c r="E397" s="7" t="s">
        <v>175</v>
      </c>
      <c r="F397" s="9">
        <v>4.18</v>
      </c>
    </row>
    <row r="398" spans="1:6" x14ac:dyDescent="0.35">
      <c r="A398" s="10">
        <v>1118</v>
      </c>
      <c r="B398" s="7">
        <v>3</v>
      </c>
      <c r="C398" s="7" t="s">
        <v>148</v>
      </c>
      <c r="D398" s="7">
        <v>3</v>
      </c>
      <c r="E398" s="7" t="s">
        <v>192</v>
      </c>
      <c r="F398" s="9">
        <v>2.09</v>
      </c>
    </row>
    <row r="399" spans="1:6" x14ac:dyDescent="0.35">
      <c r="A399" s="10">
        <v>1119</v>
      </c>
      <c r="B399" s="7">
        <v>1</v>
      </c>
      <c r="C399" s="7" t="s">
        <v>104</v>
      </c>
      <c r="D399" s="7">
        <v>6</v>
      </c>
      <c r="E399" s="7" t="s">
        <v>192</v>
      </c>
      <c r="F399" s="9">
        <v>2.09</v>
      </c>
    </row>
    <row r="400" spans="1:6" x14ac:dyDescent="0.35">
      <c r="A400" s="10">
        <v>1119</v>
      </c>
      <c r="B400" s="7">
        <v>2</v>
      </c>
      <c r="C400" s="7" t="s">
        <v>110</v>
      </c>
      <c r="D400" s="7">
        <v>5</v>
      </c>
      <c r="E400" s="7" t="s">
        <v>197</v>
      </c>
      <c r="F400" s="9">
        <v>3.76</v>
      </c>
    </row>
    <row r="401" spans="1:6" x14ac:dyDescent="0.35">
      <c r="A401" s="10">
        <v>1119</v>
      </c>
      <c r="B401" s="7">
        <v>3</v>
      </c>
      <c r="C401" s="7" t="s">
        <v>57</v>
      </c>
      <c r="D401" s="7">
        <v>4</v>
      </c>
      <c r="E401" s="7" t="s">
        <v>170</v>
      </c>
      <c r="F401" s="9">
        <v>6.69</v>
      </c>
    </row>
    <row r="402" spans="1:6" x14ac:dyDescent="0.35">
      <c r="A402" s="10">
        <v>1120</v>
      </c>
      <c r="B402" s="7">
        <v>1</v>
      </c>
      <c r="C402" s="7" t="s">
        <v>145</v>
      </c>
      <c r="D402" s="7">
        <v>7</v>
      </c>
      <c r="E402" s="7" t="s">
        <v>179</v>
      </c>
      <c r="F402" s="9">
        <v>5.86</v>
      </c>
    </row>
    <row r="403" spans="1:6" x14ac:dyDescent="0.35">
      <c r="A403" s="10">
        <v>1120</v>
      </c>
      <c r="B403" s="7">
        <v>2</v>
      </c>
      <c r="C403" s="7" t="s">
        <v>115</v>
      </c>
      <c r="D403" s="7">
        <v>5</v>
      </c>
      <c r="E403" s="7" t="s">
        <v>192</v>
      </c>
      <c r="F403" s="9">
        <v>2.09</v>
      </c>
    </row>
    <row r="404" spans="1:6" x14ac:dyDescent="0.35">
      <c r="A404" s="10">
        <v>1120</v>
      </c>
      <c r="B404" s="7">
        <v>3</v>
      </c>
      <c r="C404" s="7" t="s">
        <v>144</v>
      </c>
      <c r="D404" s="7">
        <v>1</v>
      </c>
      <c r="E404" s="7" t="s">
        <v>177</v>
      </c>
      <c r="F404" s="9">
        <v>5.0199999999999996</v>
      </c>
    </row>
    <row r="405" spans="1:6" x14ac:dyDescent="0.35">
      <c r="A405" s="10">
        <v>1120</v>
      </c>
      <c r="B405" s="7">
        <v>4</v>
      </c>
      <c r="C405" s="7" t="s">
        <v>110</v>
      </c>
      <c r="D405" s="7">
        <v>1</v>
      </c>
      <c r="E405" s="7" t="s">
        <v>197</v>
      </c>
      <c r="F405" s="9">
        <v>3.76</v>
      </c>
    </row>
    <row r="406" spans="1:6" x14ac:dyDescent="0.35">
      <c r="A406" s="10">
        <v>1120</v>
      </c>
      <c r="B406" s="7">
        <v>5</v>
      </c>
      <c r="C406" s="7" t="s">
        <v>72</v>
      </c>
      <c r="D406" s="7">
        <v>4</v>
      </c>
      <c r="E406" s="7" t="s">
        <v>165</v>
      </c>
      <c r="F406" s="9">
        <v>1.67</v>
      </c>
    </row>
    <row r="407" spans="1:6" x14ac:dyDescent="0.35">
      <c r="A407" s="10">
        <v>1121</v>
      </c>
      <c r="B407" s="7">
        <v>1</v>
      </c>
      <c r="C407" s="7" t="s">
        <v>140</v>
      </c>
      <c r="D407" s="7">
        <v>4</v>
      </c>
      <c r="E407" s="7" t="s">
        <v>167</v>
      </c>
      <c r="F407" s="9">
        <v>8.3699999999999992</v>
      </c>
    </row>
    <row r="408" spans="1:6" x14ac:dyDescent="0.35">
      <c r="A408" s="10">
        <v>1121</v>
      </c>
      <c r="B408" s="7">
        <v>2</v>
      </c>
      <c r="C408" s="7" t="s">
        <v>51</v>
      </c>
      <c r="D408" s="7">
        <v>3</v>
      </c>
      <c r="E408" s="7" t="s">
        <v>167</v>
      </c>
      <c r="F408" s="9">
        <v>8.3699999999999992</v>
      </c>
    </row>
    <row r="409" spans="1:6" x14ac:dyDescent="0.35">
      <c r="A409" s="10">
        <v>1122</v>
      </c>
      <c r="B409" s="7">
        <v>1</v>
      </c>
      <c r="C409" s="7" t="s">
        <v>118</v>
      </c>
      <c r="D409" s="7">
        <v>7</v>
      </c>
      <c r="E409" s="7" t="s">
        <v>165</v>
      </c>
      <c r="F409" s="9">
        <v>1.67</v>
      </c>
    </row>
    <row r="410" spans="1:6" x14ac:dyDescent="0.35">
      <c r="A410" s="10">
        <v>1122</v>
      </c>
      <c r="B410" s="7">
        <v>2</v>
      </c>
      <c r="C410" s="7" t="s">
        <v>91</v>
      </c>
      <c r="D410" s="7">
        <v>3</v>
      </c>
      <c r="E410" s="7" t="s">
        <v>170</v>
      </c>
      <c r="F410" s="9">
        <v>6.69</v>
      </c>
    </row>
    <row r="411" spans="1:6" x14ac:dyDescent="0.35">
      <c r="A411" s="10">
        <v>1123</v>
      </c>
      <c r="B411" s="7">
        <v>1</v>
      </c>
      <c r="C411" s="7" t="s">
        <v>101</v>
      </c>
      <c r="D411" s="7">
        <v>7</v>
      </c>
      <c r="E411" s="7" t="s">
        <v>179</v>
      </c>
      <c r="F411" s="9">
        <v>5.86</v>
      </c>
    </row>
    <row r="412" spans="1:6" x14ac:dyDescent="0.35">
      <c r="A412" s="10">
        <v>1123</v>
      </c>
      <c r="B412" s="7">
        <v>2</v>
      </c>
      <c r="C412" s="7" t="s">
        <v>106</v>
      </c>
      <c r="D412" s="7">
        <v>1</v>
      </c>
      <c r="E412" s="7" t="s">
        <v>167</v>
      </c>
      <c r="F412" s="9">
        <v>8.3699999999999992</v>
      </c>
    </row>
    <row r="413" spans="1:6" x14ac:dyDescent="0.35">
      <c r="A413" s="10">
        <v>1123</v>
      </c>
      <c r="B413" s="7">
        <v>3</v>
      </c>
      <c r="C413" s="7" t="s">
        <v>121</v>
      </c>
      <c r="D413" s="7">
        <v>7</v>
      </c>
      <c r="E413" s="7" t="s">
        <v>197</v>
      </c>
      <c r="F413" s="9">
        <v>3.76</v>
      </c>
    </row>
    <row r="414" spans="1:6" x14ac:dyDescent="0.35">
      <c r="A414" s="10">
        <v>1123</v>
      </c>
      <c r="B414" s="7">
        <v>4</v>
      </c>
      <c r="C414" s="7" t="s">
        <v>92</v>
      </c>
      <c r="D414" s="7">
        <v>2</v>
      </c>
      <c r="E414" s="7" t="s">
        <v>179</v>
      </c>
      <c r="F414" s="9">
        <v>5.86</v>
      </c>
    </row>
    <row r="415" spans="1:6" x14ac:dyDescent="0.35">
      <c r="A415" s="10">
        <v>1123</v>
      </c>
      <c r="B415" s="7">
        <v>5</v>
      </c>
      <c r="C415" s="7" t="s">
        <v>96</v>
      </c>
      <c r="D415" s="7">
        <v>7</v>
      </c>
      <c r="E415" s="7" t="s">
        <v>179</v>
      </c>
      <c r="F415" s="9">
        <v>5.86</v>
      </c>
    </row>
    <row r="416" spans="1:6" x14ac:dyDescent="0.35">
      <c r="A416" s="10">
        <v>1124</v>
      </c>
      <c r="B416" s="7">
        <v>1</v>
      </c>
      <c r="C416" s="7" t="s">
        <v>146</v>
      </c>
      <c r="D416" s="7">
        <v>4</v>
      </c>
      <c r="E416" s="7" t="s">
        <v>175</v>
      </c>
      <c r="F416" s="9">
        <v>4.18</v>
      </c>
    </row>
    <row r="417" spans="1:6" x14ac:dyDescent="0.35">
      <c r="A417" s="10">
        <v>1124</v>
      </c>
      <c r="B417" s="7">
        <v>2</v>
      </c>
      <c r="C417" s="7" t="s">
        <v>92</v>
      </c>
      <c r="D417" s="7">
        <v>1</v>
      </c>
      <c r="E417" s="7" t="s">
        <v>179</v>
      </c>
      <c r="F417" s="9">
        <v>5.86</v>
      </c>
    </row>
    <row r="418" spans="1:6" x14ac:dyDescent="0.35">
      <c r="A418" s="10">
        <v>1124</v>
      </c>
      <c r="B418" s="7">
        <v>3</v>
      </c>
      <c r="C418" s="7" t="s">
        <v>135</v>
      </c>
      <c r="D418" s="7">
        <v>4</v>
      </c>
      <c r="E418" s="7" t="s">
        <v>167</v>
      </c>
      <c r="F418" s="9">
        <v>8.3699999999999992</v>
      </c>
    </row>
    <row r="419" spans="1:6" x14ac:dyDescent="0.35">
      <c r="A419" s="10">
        <v>1124</v>
      </c>
      <c r="B419" s="7">
        <v>4</v>
      </c>
      <c r="C419" s="7" t="s">
        <v>98</v>
      </c>
      <c r="D419" s="7">
        <v>4</v>
      </c>
      <c r="E419" s="7" t="s">
        <v>165</v>
      </c>
      <c r="F419" s="9">
        <v>1.67</v>
      </c>
    </row>
    <row r="420" spans="1:6" x14ac:dyDescent="0.35">
      <c r="A420" s="10">
        <v>1124</v>
      </c>
      <c r="B420" s="7">
        <v>5</v>
      </c>
      <c r="C420" s="7" t="s">
        <v>121</v>
      </c>
      <c r="D420" s="7">
        <v>2</v>
      </c>
      <c r="E420" s="7" t="s">
        <v>197</v>
      </c>
      <c r="F420" s="9">
        <v>3.76</v>
      </c>
    </row>
    <row r="421" spans="1:6" x14ac:dyDescent="0.35">
      <c r="A421" s="10">
        <v>1125</v>
      </c>
      <c r="B421" s="7">
        <v>1</v>
      </c>
      <c r="C421" s="7" t="s">
        <v>156</v>
      </c>
      <c r="D421" s="7">
        <v>1</v>
      </c>
      <c r="E421" s="7" t="s">
        <v>165</v>
      </c>
      <c r="F421" s="9">
        <v>1.67</v>
      </c>
    </row>
    <row r="422" spans="1:6" x14ac:dyDescent="0.35">
      <c r="A422" s="10">
        <v>1125</v>
      </c>
      <c r="B422" s="7">
        <v>2</v>
      </c>
      <c r="C422" s="7" t="s">
        <v>91</v>
      </c>
      <c r="D422" s="7">
        <v>7</v>
      </c>
      <c r="E422" s="7" t="s">
        <v>170</v>
      </c>
      <c r="F422" s="9">
        <v>6.69</v>
      </c>
    </row>
    <row r="423" spans="1:6" x14ac:dyDescent="0.35">
      <c r="A423" s="10">
        <v>1125</v>
      </c>
      <c r="B423" s="7">
        <v>3</v>
      </c>
      <c r="C423" s="7" t="s">
        <v>83</v>
      </c>
      <c r="D423" s="7">
        <v>3</v>
      </c>
      <c r="E423" s="7" t="s">
        <v>197</v>
      </c>
      <c r="F423" s="9">
        <v>3.76</v>
      </c>
    </row>
    <row r="424" spans="1:6" x14ac:dyDescent="0.35">
      <c r="A424" s="10">
        <v>1125</v>
      </c>
      <c r="B424" s="7">
        <v>4</v>
      </c>
      <c r="C424" s="7" t="s">
        <v>114</v>
      </c>
      <c r="D424" s="7">
        <v>5</v>
      </c>
      <c r="E424" s="7" t="s">
        <v>197</v>
      </c>
      <c r="F424" s="9">
        <v>3.76</v>
      </c>
    </row>
    <row r="425" spans="1:6" x14ac:dyDescent="0.35">
      <c r="A425" s="10">
        <v>1125</v>
      </c>
      <c r="B425" s="7">
        <v>5</v>
      </c>
      <c r="C425" s="7" t="s">
        <v>123</v>
      </c>
      <c r="D425" s="7">
        <v>3</v>
      </c>
      <c r="E425" s="7" t="s">
        <v>179</v>
      </c>
      <c r="F425" s="9">
        <v>5.86</v>
      </c>
    </row>
    <row r="426" spans="1:6" x14ac:dyDescent="0.35">
      <c r="A426" s="10">
        <v>1126</v>
      </c>
      <c r="B426" s="7">
        <v>1</v>
      </c>
      <c r="C426" s="7" t="s">
        <v>82</v>
      </c>
      <c r="D426" s="7">
        <v>2</v>
      </c>
      <c r="E426" s="7" t="s">
        <v>179</v>
      </c>
      <c r="F426" s="9">
        <v>5.86</v>
      </c>
    </row>
    <row r="427" spans="1:6" x14ac:dyDescent="0.35">
      <c r="A427" s="10">
        <v>1126</v>
      </c>
      <c r="B427" s="7">
        <v>2</v>
      </c>
      <c r="C427" s="7" t="s">
        <v>132</v>
      </c>
      <c r="D427" s="7">
        <v>1</v>
      </c>
      <c r="E427" s="7" t="s">
        <v>170</v>
      </c>
      <c r="F427" s="9">
        <v>6.69</v>
      </c>
    </row>
    <row r="428" spans="1:6" x14ac:dyDescent="0.35">
      <c r="A428" s="10">
        <v>1126</v>
      </c>
      <c r="B428" s="7">
        <v>3</v>
      </c>
      <c r="C428" s="7" t="s">
        <v>126</v>
      </c>
      <c r="D428" s="7">
        <v>5</v>
      </c>
      <c r="E428" s="7" t="s">
        <v>192</v>
      </c>
      <c r="F428" s="9">
        <v>2.09</v>
      </c>
    </row>
    <row r="429" spans="1:6" x14ac:dyDescent="0.35">
      <c r="A429" s="10">
        <v>1126</v>
      </c>
      <c r="B429" s="7">
        <v>4</v>
      </c>
      <c r="C429" s="7" t="s">
        <v>109</v>
      </c>
      <c r="D429" s="7">
        <v>5</v>
      </c>
      <c r="E429" s="7" t="s">
        <v>179</v>
      </c>
      <c r="F429" s="9">
        <v>5.86</v>
      </c>
    </row>
    <row r="430" spans="1:6" x14ac:dyDescent="0.35">
      <c r="A430" s="10">
        <v>1126</v>
      </c>
      <c r="B430" s="7">
        <v>5</v>
      </c>
      <c r="C430" s="7" t="s">
        <v>121</v>
      </c>
      <c r="D430" s="7">
        <v>4</v>
      </c>
      <c r="E430" s="7" t="s">
        <v>197</v>
      </c>
      <c r="F430" s="9">
        <v>3.76</v>
      </c>
    </row>
    <row r="431" spans="1:6" x14ac:dyDescent="0.35">
      <c r="A431" s="10">
        <v>1127</v>
      </c>
      <c r="B431" s="7">
        <v>1</v>
      </c>
      <c r="C431" s="7" t="s">
        <v>77</v>
      </c>
      <c r="D431" s="7">
        <v>2</v>
      </c>
      <c r="E431" s="7" t="s">
        <v>165</v>
      </c>
      <c r="F431" s="9">
        <v>1.67</v>
      </c>
    </row>
    <row r="432" spans="1:6" x14ac:dyDescent="0.35">
      <c r="A432" s="10">
        <v>1127</v>
      </c>
      <c r="B432" s="7">
        <v>2</v>
      </c>
      <c r="C432" s="7" t="s">
        <v>146</v>
      </c>
      <c r="D432" s="7">
        <v>2</v>
      </c>
      <c r="E432" s="7" t="s">
        <v>175</v>
      </c>
      <c r="F432" s="9">
        <v>4.18</v>
      </c>
    </row>
    <row r="433" spans="1:6" x14ac:dyDescent="0.35">
      <c r="A433" s="10">
        <v>1127</v>
      </c>
      <c r="B433" s="7">
        <v>3</v>
      </c>
      <c r="C433" s="7" t="s">
        <v>73</v>
      </c>
      <c r="D433" s="7">
        <v>2</v>
      </c>
      <c r="E433" s="7" t="s">
        <v>165</v>
      </c>
      <c r="F433" s="9">
        <v>1.67</v>
      </c>
    </row>
    <row r="434" spans="1:6" x14ac:dyDescent="0.35">
      <c r="A434" s="10">
        <v>1127</v>
      </c>
      <c r="B434" s="7">
        <v>4</v>
      </c>
      <c r="C434" s="7" t="s">
        <v>157</v>
      </c>
      <c r="D434" s="7">
        <v>6</v>
      </c>
      <c r="E434" s="7" t="s">
        <v>165</v>
      </c>
      <c r="F434" s="9">
        <v>1.67</v>
      </c>
    </row>
    <row r="435" spans="1:6" x14ac:dyDescent="0.35">
      <c r="A435" s="10">
        <v>1128</v>
      </c>
      <c r="B435" s="7">
        <v>1</v>
      </c>
      <c r="C435" s="7" t="s">
        <v>138</v>
      </c>
      <c r="D435" s="7">
        <v>6</v>
      </c>
      <c r="E435" s="7" t="s">
        <v>175</v>
      </c>
      <c r="F435" s="9">
        <v>4.18</v>
      </c>
    </row>
    <row r="436" spans="1:6" x14ac:dyDescent="0.35">
      <c r="A436" s="10">
        <v>1128</v>
      </c>
      <c r="B436" s="7">
        <v>2</v>
      </c>
      <c r="C436" s="7" t="s">
        <v>141</v>
      </c>
      <c r="D436" s="7">
        <v>1</v>
      </c>
      <c r="E436" s="7" t="s">
        <v>170</v>
      </c>
      <c r="F436" s="9">
        <v>6.69</v>
      </c>
    </row>
    <row r="437" spans="1:6" x14ac:dyDescent="0.35">
      <c r="A437" s="10">
        <v>1128</v>
      </c>
      <c r="B437" s="7">
        <v>3</v>
      </c>
      <c r="C437" s="7" t="s">
        <v>114</v>
      </c>
      <c r="D437" s="7">
        <v>1</v>
      </c>
      <c r="E437" s="7" t="s">
        <v>197</v>
      </c>
      <c r="F437" s="9">
        <v>3.76</v>
      </c>
    </row>
    <row r="438" spans="1:6" x14ac:dyDescent="0.35">
      <c r="A438" s="10">
        <v>1128</v>
      </c>
      <c r="B438" s="7">
        <v>4</v>
      </c>
      <c r="C438" s="7" t="s">
        <v>99</v>
      </c>
      <c r="D438" s="7">
        <v>1</v>
      </c>
      <c r="E438" s="7" t="s">
        <v>165</v>
      </c>
      <c r="F438" s="9">
        <v>1.67</v>
      </c>
    </row>
    <row r="439" spans="1:6" x14ac:dyDescent="0.35">
      <c r="A439" s="10">
        <v>1129</v>
      </c>
      <c r="B439" s="7">
        <v>1</v>
      </c>
      <c r="C439" s="7" t="s">
        <v>145</v>
      </c>
      <c r="D439" s="7">
        <v>5</v>
      </c>
      <c r="E439" s="7" t="s">
        <v>179</v>
      </c>
      <c r="F439" s="9">
        <v>5.86</v>
      </c>
    </row>
    <row r="440" spans="1:6" x14ac:dyDescent="0.35">
      <c r="A440" s="10">
        <v>1129</v>
      </c>
      <c r="B440" s="7">
        <v>2</v>
      </c>
      <c r="C440" s="7" t="s">
        <v>122</v>
      </c>
      <c r="D440" s="7">
        <v>4</v>
      </c>
      <c r="E440" s="7" t="s">
        <v>167</v>
      </c>
      <c r="F440" s="9">
        <v>8.3699999999999992</v>
      </c>
    </row>
    <row r="441" spans="1:6" x14ac:dyDescent="0.35">
      <c r="A441" s="10">
        <v>1130</v>
      </c>
      <c r="B441" s="7">
        <v>1</v>
      </c>
      <c r="C441" s="7" t="s">
        <v>98</v>
      </c>
      <c r="D441" s="7">
        <v>6</v>
      </c>
      <c r="E441" s="7" t="s">
        <v>165</v>
      </c>
      <c r="F441" s="9">
        <v>1.67</v>
      </c>
    </row>
    <row r="442" spans="1:6" x14ac:dyDescent="0.35">
      <c r="A442" s="10">
        <v>1130</v>
      </c>
      <c r="B442" s="7">
        <v>2</v>
      </c>
      <c r="C442" s="7" t="s">
        <v>144</v>
      </c>
      <c r="D442" s="7">
        <v>4</v>
      </c>
      <c r="E442" s="7" t="s">
        <v>177</v>
      </c>
      <c r="F442" s="9">
        <v>5.0199999999999996</v>
      </c>
    </row>
    <row r="443" spans="1:6" x14ac:dyDescent="0.35">
      <c r="A443" s="10">
        <v>1130</v>
      </c>
      <c r="B443" s="7">
        <v>3</v>
      </c>
      <c r="C443" s="7" t="s">
        <v>132</v>
      </c>
      <c r="D443" s="7">
        <v>7</v>
      </c>
      <c r="E443" s="7" t="s">
        <v>170</v>
      </c>
      <c r="F443" s="9">
        <v>6.69</v>
      </c>
    </row>
    <row r="444" spans="1:6" x14ac:dyDescent="0.35">
      <c r="A444" s="10">
        <v>1131</v>
      </c>
      <c r="B444" s="7">
        <v>1</v>
      </c>
      <c r="C444" s="7" t="s">
        <v>138</v>
      </c>
      <c r="D444" s="7">
        <v>6</v>
      </c>
      <c r="E444" s="7" t="s">
        <v>175</v>
      </c>
      <c r="F444" s="9">
        <v>4.18</v>
      </c>
    </row>
    <row r="445" spans="1:6" x14ac:dyDescent="0.35">
      <c r="A445" s="10">
        <v>1131</v>
      </c>
      <c r="B445" s="7">
        <v>2</v>
      </c>
      <c r="C445" s="7" t="s">
        <v>65</v>
      </c>
      <c r="D445" s="7">
        <v>7</v>
      </c>
      <c r="E445" s="7" t="s">
        <v>175</v>
      </c>
      <c r="F445" s="9">
        <v>4.18</v>
      </c>
    </row>
    <row r="446" spans="1:6" x14ac:dyDescent="0.35">
      <c r="A446" s="10">
        <v>1132</v>
      </c>
      <c r="B446" s="7">
        <v>1</v>
      </c>
      <c r="C446" s="7" t="s">
        <v>149</v>
      </c>
      <c r="D446" s="7">
        <v>4</v>
      </c>
      <c r="E446" s="7" t="s">
        <v>175</v>
      </c>
      <c r="F446" s="9">
        <v>4.18</v>
      </c>
    </row>
    <row r="447" spans="1:6" x14ac:dyDescent="0.35">
      <c r="A447" s="10">
        <v>1132</v>
      </c>
      <c r="B447" s="7">
        <v>2</v>
      </c>
      <c r="C447" s="7" t="s">
        <v>141</v>
      </c>
      <c r="D447" s="7">
        <v>4</v>
      </c>
      <c r="E447" s="7" t="s">
        <v>170</v>
      </c>
      <c r="F447" s="9">
        <v>6.69</v>
      </c>
    </row>
    <row r="448" spans="1:6" x14ac:dyDescent="0.35">
      <c r="A448" s="10">
        <v>1133</v>
      </c>
      <c r="B448" s="7">
        <v>1</v>
      </c>
      <c r="C448" s="7" t="s">
        <v>69</v>
      </c>
      <c r="D448" s="7">
        <v>1</v>
      </c>
      <c r="E448" s="7" t="s">
        <v>170</v>
      </c>
      <c r="F448" s="9">
        <v>6.69</v>
      </c>
    </row>
    <row r="449" spans="1:6" x14ac:dyDescent="0.35">
      <c r="A449" s="10">
        <v>1133</v>
      </c>
      <c r="B449" s="7">
        <v>2</v>
      </c>
      <c r="C449" s="7" t="s">
        <v>92</v>
      </c>
      <c r="D449" s="7">
        <v>7</v>
      </c>
      <c r="E449" s="7" t="s">
        <v>179</v>
      </c>
      <c r="F449" s="9">
        <v>5.86</v>
      </c>
    </row>
    <row r="450" spans="1:6" x14ac:dyDescent="0.35">
      <c r="A450" s="10">
        <v>1133</v>
      </c>
      <c r="B450" s="7">
        <v>3</v>
      </c>
      <c r="C450" s="7" t="s">
        <v>99</v>
      </c>
      <c r="D450" s="7">
        <v>6</v>
      </c>
      <c r="E450" s="7" t="s">
        <v>165</v>
      </c>
      <c r="F450" s="9">
        <v>1.67</v>
      </c>
    </row>
    <row r="451" spans="1:6" x14ac:dyDescent="0.35">
      <c r="A451" s="10">
        <v>1134</v>
      </c>
      <c r="B451" s="7">
        <v>1</v>
      </c>
      <c r="C451" s="7" t="s">
        <v>93</v>
      </c>
      <c r="D451" s="7">
        <v>5</v>
      </c>
      <c r="E451" s="7" t="s">
        <v>175</v>
      </c>
      <c r="F451" s="9">
        <v>4.18</v>
      </c>
    </row>
    <row r="452" spans="1:6" x14ac:dyDescent="0.35">
      <c r="A452" s="10">
        <v>1134</v>
      </c>
      <c r="B452" s="7">
        <v>2</v>
      </c>
      <c r="C452" s="7" t="s">
        <v>133</v>
      </c>
      <c r="D452" s="7">
        <v>1</v>
      </c>
      <c r="E452" s="7" t="s">
        <v>175</v>
      </c>
      <c r="F452" s="9">
        <v>4.18</v>
      </c>
    </row>
    <row r="453" spans="1:6" x14ac:dyDescent="0.35">
      <c r="A453" s="10">
        <v>1134</v>
      </c>
      <c r="B453" s="7">
        <v>3</v>
      </c>
      <c r="C453" s="7" t="s">
        <v>83</v>
      </c>
      <c r="D453" s="7">
        <v>4</v>
      </c>
      <c r="E453" s="7" t="s">
        <v>197</v>
      </c>
      <c r="F453" s="9">
        <v>3.76</v>
      </c>
    </row>
    <row r="454" spans="1:6" x14ac:dyDescent="0.35">
      <c r="A454" s="10">
        <v>1134</v>
      </c>
      <c r="B454" s="7">
        <v>4</v>
      </c>
      <c r="C454" s="7" t="s">
        <v>60</v>
      </c>
      <c r="D454" s="7">
        <v>2</v>
      </c>
      <c r="E454" s="7" t="s">
        <v>165</v>
      </c>
      <c r="F454" s="9">
        <v>1.67</v>
      </c>
    </row>
    <row r="455" spans="1:6" x14ac:dyDescent="0.35">
      <c r="A455" s="10">
        <v>1134</v>
      </c>
      <c r="B455" s="7">
        <v>5</v>
      </c>
      <c r="C455" s="7" t="s">
        <v>71</v>
      </c>
      <c r="D455" s="7">
        <v>4</v>
      </c>
      <c r="E455" s="7" t="s">
        <v>165</v>
      </c>
      <c r="F455" s="9">
        <v>1.67</v>
      </c>
    </row>
    <row r="456" spans="1:6" x14ac:dyDescent="0.35">
      <c r="A456" s="10">
        <v>1135</v>
      </c>
      <c r="B456" s="7">
        <v>1</v>
      </c>
      <c r="C456" s="7" t="s">
        <v>97</v>
      </c>
      <c r="D456" s="7">
        <v>1</v>
      </c>
      <c r="E456" s="7" t="s">
        <v>165</v>
      </c>
      <c r="F456" s="9">
        <v>1.67</v>
      </c>
    </row>
    <row r="457" spans="1:6" x14ac:dyDescent="0.35">
      <c r="A457" s="10">
        <v>1135</v>
      </c>
      <c r="B457" s="7">
        <v>2</v>
      </c>
      <c r="C457" s="7" t="s">
        <v>96</v>
      </c>
      <c r="D457" s="7">
        <v>2</v>
      </c>
      <c r="E457" s="7" t="s">
        <v>179</v>
      </c>
      <c r="F457" s="9">
        <v>5.86</v>
      </c>
    </row>
    <row r="458" spans="1:6" x14ac:dyDescent="0.35">
      <c r="A458" s="10">
        <v>1135</v>
      </c>
      <c r="B458" s="7">
        <v>3</v>
      </c>
      <c r="C458" s="7" t="s">
        <v>89</v>
      </c>
      <c r="D458" s="7">
        <v>2</v>
      </c>
      <c r="E458" s="7" t="s">
        <v>165</v>
      </c>
      <c r="F458" s="9">
        <v>1.67</v>
      </c>
    </row>
    <row r="459" spans="1:6" x14ac:dyDescent="0.35">
      <c r="A459" s="10">
        <v>1135</v>
      </c>
      <c r="B459" s="7">
        <v>4</v>
      </c>
      <c r="C459" s="7" t="s">
        <v>74</v>
      </c>
      <c r="D459" s="7">
        <v>4</v>
      </c>
      <c r="E459" s="7" t="s">
        <v>165</v>
      </c>
      <c r="F459" s="9">
        <v>1.67</v>
      </c>
    </row>
    <row r="460" spans="1:6" x14ac:dyDescent="0.35">
      <c r="A460" s="10">
        <v>1135</v>
      </c>
      <c r="B460" s="7">
        <v>5</v>
      </c>
      <c r="C460" s="7" t="s">
        <v>114</v>
      </c>
      <c r="D460" s="7">
        <v>6</v>
      </c>
      <c r="E460" s="7" t="s">
        <v>197</v>
      </c>
      <c r="F460" s="9">
        <v>3.76</v>
      </c>
    </row>
    <row r="461" spans="1:6" x14ac:dyDescent="0.35">
      <c r="A461" s="10">
        <v>1136</v>
      </c>
      <c r="B461" s="7">
        <v>1</v>
      </c>
      <c r="C461" s="7" t="s">
        <v>142</v>
      </c>
      <c r="D461" s="7">
        <v>6</v>
      </c>
      <c r="E461" s="7" t="s">
        <v>192</v>
      </c>
      <c r="F461" s="9">
        <v>2.09</v>
      </c>
    </row>
    <row r="462" spans="1:6" x14ac:dyDescent="0.35">
      <c r="A462" s="10">
        <v>1136</v>
      </c>
      <c r="B462" s="7">
        <v>2</v>
      </c>
      <c r="C462" s="7" t="s">
        <v>114</v>
      </c>
      <c r="D462" s="7">
        <v>2</v>
      </c>
      <c r="E462" s="7" t="s">
        <v>197</v>
      </c>
      <c r="F462" s="9">
        <v>3.76</v>
      </c>
    </row>
    <row r="463" spans="1:6" x14ac:dyDescent="0.35">
      <c r="A463" s="10">
        <v>1136</v>
      </c>
      <c r="B463" s="7">
        <v>3</v>
      </c>
      <c r="C463" s="7" t="s">
        <v>151</v>
      </c>
      <c r="D463" s="7">
        <v>6</v>
      </c>
      <c r="E463" s="7" t="s">
        <v>167</v>
      </c>
      <c r="F463" s="9">
        <v>8.3699999999999992</v>
      </c>
    </row>
    <row r="464" spans="1:6" x14ac:dyDescent="0.35">
      <c r="A464" s="10">
        <v>1137</v>
      </c>
      <c r="B464" s="7">
        <v>1</v>
      </c>
      <c r="C464" s="7" t="s">
        <v>124</v>
      </c>
      <c r="D464" s="7">
        <v>7</v>
      </c>
      <c r="E464" s="7" t="s">
        <v>167</v>
      </c>
      <c r="F464" s="9">
        <v>8.3699999999999992</v>
      </c>
    </row>
    <row r="465" spans="1:6" x14ac:dyDescent="0.35">
      <c r="A465" s="10">
        <v>1137</v>
      </c>
      <c r="B465" s="7">
        <v>2</v>
      </c>
      <c r="C465" s="7" t="s">
        <v>116</v>
      </c>
      <c r="D465" s="7">
        <v>4</v>
      </c>
      <c r="E465" s="7" t="s">
        <v>165</v>
      </c>
      <c r="F465" s="9">
        <v>1.67</v>
      </c>
    </row>
    <row r="466" spans="1:6" x14ac:dyDescent="0.35">
      <c r="A466" s="10">
        <v>1137</v>
      </c>
      <c r="B466" s="7">
        <v>3</v>
      </c>
      <c r="C466" s="7" t="s">
        <v>84</v>
      </c>
      <c r="D466" s="7">
        <v>3</v>
      </c>
      <c r="E466" s="7" t="s">
        <v>192</v>
      </c>
      <c r="F466" s="9">
        <v>2.09</v>
      </c>
    </row>
    <row r="467" spans="1:6" x14ac:dyDescent="0.35">
      <c r="A467" s="10">
        <v>1137</v>
      </c>
      <c r="B467" s="7">
        <v>4</v>
      </c>
      <c r="C467" s="7" t="s">
        <v>120</v>
      </c>
      <c r="D467" s="7">
        <v>6</v>
      </c>
      <c r="E467" s="7" t="s">
        <v>197</v>
      </c>
      <c r="F467" s="9">
        <v>3.76</v>
      </c>
    </row>
    <row r="468" spans="1:6" x14ac:dyDescent="0.35">
      <c r="A468" s="10">
        <v>1138</v>
      </c>
      <c r="B468" s="7">
        <v>1</v>
      </c>
      <c r="C468" s="7" t="s">
        <v>128</v>
      </c>
      <c r="D468" s="7">
        <v>3</v>
      </c>
      <c r="E468" s="7" t="s">
        <v>177</v>
      </c>
      <c r="F468" s="9">
        <v>5.0199999999999996</v>
      </c>
    </row>
    <row r="469" spans="1:6" x14ac:dyDescent="0.35">
      <c r="A469" s="10">
        <v>1138</v>
      </c>
      <c r="B469" s="7">
        <v>2</v>
      </c>
      <c r="C469" s="7" t="s">
        <v>97</v>
      </c>
      <c r="D469" s="7">
        <v>4</v>
      </c>
      <c r="E469" s="7" t="s">
        <v>165</v>
      </c>
      <c r="F469" s="9">
        <v>1.67</v>
      </c>
    </row>
    <row r="470" spans="1:6" x14ac:dyDescent="0.35">
      <c r="A470" s="10">
        <v>1138</v>
      </c>
      <c r="B470" s="7">
        <v>3</v>
      </c>
      <c r="C470" s="7" t="s">
        <v>104</v>
      </c>
      <c r="D470" s="7">
        <v>1</v>
      </c>
      <c r="E470" s="7" t="s">
        <v>192</v>
      </c>
      <c r="F470" s="9">
        <v>2.09</v>
      </c>
    </row>
    <row r="471" spans="1:6" x14ac:dyDescent="0.35">
      <c r="A471" s="10">
        <v>1138</v>
      </c>
      <c r="B471" s="7">
        <v>4</v>
      </c>
      <c r="C471" s="7" t="s">
        <v>127</v>
      </c>
      <c r="D471" s="7">
        <v>4</v>
      </c>
      <c r="E471" s="7" t="s">
        <v>177</v>
      </c>
      <c r="F471" s="9">
        <v>5.0199999999999996</v>
      </c>
    </row>
    <row r="472" spans="1:6" x14ac:dyDescent="0.35">
      <c r="A472" s="10">
        <v>1139</v>
      </c>
      <c r="B472" s="7">
        <v>1</v>
      </c>
      <c r="C472" s="7" t="s">
        <v>141</v>
      </c>
      <c r="D472" s="7">
        <v>7</v>
      </c>
      <c r="E472" s="7" t="s">
        <v>170</v>
      </c>
      <c r="F472" s="9">
        <v>6.69</v>
      </c>
    </row>
    <row r="473" spans="1:6" x14ac:dyDescent="0.35">
      <c r="A473" s="10">
        <v>1139</v>
      </c>
      <c r="B473" s="7">
        <v>2</v>
      </c>
      <c r="C473" s="7" t="s">
        <v>67</v>
      </c>
      <c r="D473" s="7">
        <v>5</v>
      </c>
      <c r="E473" s="7" t="s">
        <v>179</v>
      </c>
      <c r="F473" s="9">
        <v>5.86</v>
      </c>
    </row>
    <row r="474" spans="1:6" x14ac:dyDescent="0.35">
      <c r="A474" s="10">
        <v>1139</v>
      </c>
      <c r="B474" s="7">
        <v>3</v>
      </c>
      <c r="C474" s="7" t="s">
        <v>109</v>
      </c>
      <c r="D474" s="7">
        <v>6</v>
      </c>
      <c r="E474" s="7" t="s">
        <v>179</v>
      </c>
      <c r="F474" s="9">
        <v>5.86</v>
      </c>
    </row>
    <row r="475" spans="1:6" x14ac:dyDescent="0.35">
      <c r="A475" s="10">
        <v>1139</v>
      </c>
      <c r="B475" s="7">
        <v>4</v>
      </c>
      <c r="C475" s="7" t="s">
        <v>103</v>
      </c>
      <c r="D475" s="7">
        <v>2</v>
      </c>
      <c r="E475" s="7" t="s">
        <v>170</v>
      </c>
      <c r="F475" s="9">
        <v>6.69</v>
      </c>
    </row>
    <row r="476" spans="1:6" x14ac:dyDescent="0.35">
      <c r="A476" s="10">
        <v>1139</v>
      </c>
      <c r="B476" s="7">
        <v>5</v>
      </c>
      <c r="C476" s="7" t="s">
        <v>93</v>
      </c>
      <c r="D476" s="7">
        <v>2</v>
      </c>
      <c r="E476" s="7" t="s">
        <v>175</v>
      </c>
      <c r="F476" s="9">
        <v>4.18</v>
      </c>
    </row>
    <row r="477" spans="1:6" x14ac:dyDescent="0.35">
      <c r="A477" s="10">
        <v>1140</v>
      </c>
      <c r="B477" s="7">
        <v>1</v>
      </c>
      <c r="C477" s="7" t="s">
        <v>148</v>
      </c>
      <c r="D477" s="7">
        <v>2</v>
      </c>
      <c r="E477" s="7" t="s">
        <v>192</v>
      </c>
      <c r="F477" s="9">
        <v>2.09</v>
      </c>
    </row>
    <row r="478" spans="1:6" x14ac:dyDescent="0.35">
      <c r="A478" s="10">
        <v>1140</v>
      </c>
      <c r="B478" s="7">
        <v>2</v>
      </c>
      <c r="C478" s="7" t="s">
        <v>67</v>
      </c>
      <c r="D478" s="7">
        <v>5</v>
      </c>
      <c r="E478" s="7" t="s">
        <v>179</v>
      </c>
      <c r="F478" s="9">
        <v>5.86</v>
      </c>
    </row>
    <row r="479" spans="1:6" x14ac:dyDescent="0.35">
      <c r="A479" s="10">
        <v>1140</v>
      </c>
      <c r="B479" s="7">
        <v>3</v>
      </c>
      <c r="C479" s="7" t="s">
        <v>80</v>
      </c>
      <c r="D479" s="7">
        <v>1</v>
      </c>
      <c r="E479" s="7" t="s">
        <v>165</v>
      </c>
      <c r="F479" s="9">
        <v>1.67</v>
      </c>
    </row>
    <row r="480" spans="1:6" x14ac:dyDescent="0.35">
      <c r="A480" s="10">
        <v>1141</v>
      </c>
      <c r="B480" s="7">
        <v>1</v>
      </c>
      <c r="C480" s="7" t="s">
        <v>78</v>
      </c>
      <c r="D480" s="7">
        <v>2</v>
      </c>
      <c r="E480" s="7" t="s">
        <v>179</v>
      </c>
      <c r="F480" s="9">
        <v>5.86</v>
      </c>
    </row>
    <row r="481" spans="1:6" x14ac:dyDescent="0.35">
      <c r="A481" s="10">
        <v>1141</v>
      </c>
      <c r="B481" s="7">
        <v>2</v>
      </c>
      <c r="C481" s="7" t="s">
        <v>122</v>
      </c>
      <c r="D481" s="7">
        <v>6</v>
      </c>
      <c r="E481" s="7" t="s">
        <v>167</v>
      </c>
      <c r="F481" s="9">
        <v>8.3699999999999992</v>
      </c>
    </row>
    <row r="482" spans="1:6" x14ac:dyDescent="0.35">
      <c r="A482" s="10">
        <v>1141</v>
      </c>
      <c r="B482" s="7">
        <v>3</v>
      </c>
      <c r="C482" s="7" t="s">
        <v>145</v>
      </c>
      <c r="D482" s="7">
        <v>2</v>
      </c>
      <c r="E482" s="7" t="s">
        <v>179</v>
      </c>
      <c r="F482" s="9">
        <v>5.86</v>
      </c>
    </row>
    <row r="483" spans="1:6" x14ac:dyDescent="0.35">
      <c r="A483" s="10">
        <v>1141</v>
      </c>
      <c r="B483" s="7">
        <v>4</v>
      </c>
      <c r="C483" s="7" t="s">
        <v>88</v>
      </c>
      <c r="D483" s="7">
        <v>1</v>
      </c>
      <c r="E483" s="7" t="s">
        <v>175</v>
      </c>
      <c r="F483" s="9">
        <v>4.18</v>
      </c>
    </row>
    <row r="484" spans="1:6" x14ac:dyDescent="0.35">
      <c r="A484" s="10">
        <v>1141</v>
      </c>
      <c r="B484" s="7">
        <v>5</v>
      </c>
      <c r="C484" s="7" t="s">
        <v>87</v>
      </c>
      <c r="D484" s="7">
        <v>2</v>
      </c>
      <c r="E484" s="7" t="s">
        <v>165</v>
      </c>
      <c r="F484" s="9">
        <v>1.67</v>
      </c>
    </row>
    <row r="485" spans="1:6" x14ac:dyDescent="0.35">
      <c r="A485" s="10">
        <v>1142</v>
      </c>
      <c r="B485" s="7">
        <v>1</v>
      </c>
      <c r="C485" s="7" t="s">
        <v>126</v>
      </c>
      <c r="D485" s="7">
        <v>3</v>
      </c>
      <c r="E485" s="7" t="s">
        <v>192</v>
      </c>
      <c r="F485" s="9">
        <v>2.09</v>
      </c>
    </row>
    <row r="486" spans="1:6" x14ac:dyDescent="0.35">
      <c r="A486" s="10">
        <v>1142</v>
      </c>
      <c r="B486" s="7">
        <v>2</v>
      </c>
      <c r="C486" s="7" t="s">
        <v>129</v>
      </c>
      <c r="D486" s="7">
        <v>1</v>
      </c>
      <c r="E486" s="7" t="s">
        <v>167</v>
      </c>
      <c r="F486" s="9">
        <v>8.3699999999999992</v>
      </c>
    </row>
    <row r="487" spans="1:6" x14ac:dyDescent="0.35">
      <c r="A487" s="10">
        <v>1143</v>
      </c>
      <c r="B487" s="7">
        <v>1</v>
      </c>
      <c r="C487" s="7" t="s">
        <v>90</v>
      </c>
      <c r="D487" s="7">
        <v>1</v>
      </c>
      <c r="E487" s="7" t="s">
        <v>165</v>
      </c>
      <c r="F487" s="9">
        <v>1.67</v>
      </c>
    </row>
    <row r="488" spans="1:6" x14ac:dyDescent="0.35">
      <c r="A488" s="10">
        <v>1143</v>
      </c>
      <c r="B488" s="7">
        <v>2</v>
      </c>
      <c r="C488" s="7" t="s">
        <v>86</v>
      </c>
      <c r="D488" s="7">
        <v>2</v>
      </c>
      <c r="E488" s="7" t="s">
        <v>177</v>
      </c>
      <c r="F488" s="9">
        <v>5.0199999999999996</v>
      </c>
    </row>
    <row r="489" spans="1:6" x14ac:dyDescent="0.35">
      <c r="A489" s="10">
        <v>1144</v>
      </c>
      <c r="B489" s="7">
        <v>1</v>
      </c>
      <c r="C489" s="7" t="s">
        <v>74</v>
      </c>
      <c r="D489" s="7">
        <v>3</v>
      </c>
      <c r="E489" s="7" t="s">
        <v>165</v>
      </c>
      <c r="F489" s="9">
        <v>1.67</v>
      </c>
    </row>
    <row r="490" spans="1:6" x14ac:dyDescent="0.35">
      <c r="A490" s="10">
        <v>1144</v>
      </c>
      <c r="B490" s="7">
        <v>2</v>
      </c>
      <c r="C490" s="7" t="s">
        <v>100</v>
      </c>
      <c r="D490" s="7">
        <v>5</v>
      </c>
      <c r="E490" s="7" t="s">
        <v>170</v>
      </c>
      <c r="F490" s="9">
        <v>6.69</v>
      </c>
    </row>
    <row r="491" spans="1:6" x14ac:dyDescent="0.35">
      <c r="A491" s="10">
        <v>1144</v>
      </c>
      <c r="B491" s="7">
        <v>3</v>
      </c>
      <c r="C491" s="7" t="s">
        <v>91</v>
      </c>
      <c r="D491" s="7">
        <v>7</v>
      </c>
      <c r="E491" s="7" t="s">
        <v>170</v>
      </c>
      <c r="F491" s="9">
        <v>6.69</v>
      </c>
    </row>
    <row r="492" spans="1:6" x14ac:dyDescent="0.35">
      <c r="A492" s="10">
        <v>1144</v>
      </c>
      <c r="B492" s="7">
        <v>4</v>
      </c>
      <c r="C492" s="7" t="s">
        <v>66</v>
      </c>
      <c r="D492" s="7">
        <v>2</v>
      </c>
      <c r="E492" s="7" t="s">
        <v>177</v>
      </c>
      <c r="F492" s="9">
        <v>5.0199999999999996</v>
      </c>
    </row>
    <row r="493" spans="1:6" x14ac:dyDescent="0.35">
      <c r="A493" s="10">
        <v>1144</v>
      </c>
      <c r="B493" s="7">
        <v>5</v>
      </c>
      <c r="C493" s="7" t="s">
        <v>78</v>
      </c>
      <c r="D493" s="7">
        <v>5</v>
      </c>
      <c r="E493" s="7" t="s">
        <v>179</v>
      </c>
      <c r="F493" s="9">
        <v>5.86</v>
      </c>
    </row>
    <row r="494" spans="1:6" x14ac:dyDescent="0.35">
      <c r="A494" s="10">
        <v>1145</v>
      </c>
      <c r="B494" s="7">
        <v>1</v>
      </c>
      <c r="C494" s="7" t="s">
        <v>108</v>
      </c>
      <c r="D494" s="7">
        <v>6</v>
      </c>
      <c r="E494" s="7" t="s">
        <v>177</v>
      </c>
      <c r="F494" s="9">
        <v>5.0199999999999996</v>
      </c>
    </row>
    <row r="495" spans="1:6" x14ac:dyDescent="0.35">
      <c r="A495" s="10">
        <v>1145</v>
      </c>
      <c r="B495" s="7">
        <v>2</v>
      </c>
      <c r="C495" s="7" t="s">
        <v>121</v>
      </c>
      <c r="D495" s="7">
        <v>3</v>
      </c>
      <c r="E495" s="7" t="s">
        <v>197</v>
      </c>
      <c r="F495" s="9">
        <v>3.76</v>
      </c>
    </row>
    <row r="496" spans="1:6" x14ac:dyDescent="0.35">
      <c r="A496" s="10">
        <v>1145</v>
      </c>
      <c r="B496" s="7">
        <v>3</v>
      </c>
      <c r="C496" s="7" t="s">
        <v>120</v>
      </c>
      <c r="D496" s="7">
        <v>2</v>
      </c>
      <c r="E496" s="7" t="s">
        <v>197</v>
      </c>
      <c r="F496" s="9">
        <v>3.76</v>
      </c>
    </row>
    <row r="497" spans="1:6" x14ac:dyDescent="0.35">
      <c r="A497" s="10">
        <v>1146</v>
      </c>
      <c r="B497" s="7">
        <v>1</v>
      </c>
      <c r="C497" s="7" t="s">
        <v>123</v>
      </c>
      <c r="D497" s="7">
        <v>3</v>
      </c>
      <c r="E497" s="7" t="s">
        <v>179</v>
      </c>
      <c r="F497" s="9">
        <v>5.86</v>
      </c>
    </row>
    <row r="498" spans="1:6" x14ac:dyDescent="0.35">
      <c r="A498" s="10">
        <v>1146</v>
      </c>
      <c r="B498" s="7">
        <v>2</v>
      </c>
      <c r="C498" s="7" t="s">
        <v>147</v>
      </c>
      <c r="D498" s="7">
        <v>5</v>
      </c>
      <c r="E498" s="7" t="s">
        <v>179</v>
      </c>
      <c r="F498" s="9">
        <v>5.86</v>
      </c>
    </row>
    <row r="499" spans="1:6" x14ac:dyDescent="0.35">
      <c r="A499" s="10">
        <v>1147</v>
      </c>
      <c r="B499" s="7">
        <v>1</v>
      </c>
      <c r="C499" s="7" t="s">
        <v>115</v>
      </c>
      <c r="D499" s="7">
        <v>3</v>
      </c>
      <c r="E499" s="7" t="s">
        <v>192</v>
      </c>
      <c r="F499" s="9">
        <v>2.09</v>
      </c>
    </row>
    <row r="500" spans="1:6" x14ac:dyDescent="0.35">
      <c r="A500" s="10">
        <v>1147</v>
      </c>
      <c r="B500" s="7">
        <v>2</v>
      </c>
      <c r="C500" s="7" t="s">
        <v>137</v>
      </c>
      <c r="D500" s="7">
        <v>7</v>
      </c>
      <c r="E500" s="7" t="s">
        <v>165</v>
      </c>
      <c r="F500" s="9">
        <v>1.67</v>
      </c>
    </row>
    <row r="501" spans="1:6" x14ac:dyDescent="0.35">
      <c r="A501" s="10">
        <v>1147</v>
      </c>
      <c r="B501" s="7">
        <v>3</v>
      </c>
      <c r="C501" s="7" t="s">
        <v>82</v>
      </c>
      <c r="D501" s="7">
        <v>5</v>
      </c>
      <c r="E501" s="7" t="s">
        <v>179</v>
      </c>
      <c r="F501" s="9">
        <v>5.86</v>
      </c>
    </row>
    <row r="502" spans="1:6" x14ac:dyDescent="0.35">
      <c r="A502" s="10">
        <v>1147</v>
      </c>
      <c r="B502" s="7">
        <v>4</v>
      </c>
      <c r="C502" s="7" t="s">
        <v>142</v>
      </c>
      <c r="D502" s="7">
        <v>2</v>
      </c>
      <c r="E502" s="7" t="s">
        <v>192</v>
      </c>
      <c r="F502" s="9">
        <v>2.09</v>
      </c>
    </row>
    <row r="503" spans="1:6" x14ac:dyDescent="0.35">
      <c r="A503" s="10">
        <v>1148</v>
      </c>
      <c r="B503" s="7">
        <v>1</v>
      </c>
      <c r="C503" s="7" t="s">
        <v>121</v>
      </c>
      <c r="D503" s="7">
        <v>5</v>
      </c>
      <c r="E503" s="7" t="s">
        <v>197</v>
      </c>
      <c r="F503" s="9">
        <v>3.76</v>
      </c>
    </row>
    <row r="504" spans="1:6" x14ac:dyDescent="0.35">
      <c r="A504" s="10">
        <v>1148</v>
      </c>
      <c r="B504" s="7">
        <v>2</v>
      </c>
      <c r="C504" s="7" t="s">
        <v>95</v>
      </c>
      <c r="D504" s="7">
        <v>7</v>
      </c>
      <c r="E504" s="7" t="s">
        <v>197</v>
      </c>
      <c r="F504" s="9">
        <v>3.76</v>
      </c>
    </row>
    <row r="505" spans="1:6" x14ac:dyDescent="0.35">
      <c r="A505" s="10">
        <v>1148</v>
      </c>
      <c r="B505" s="7">
        <v>3</v>
      </c>
      <c r="C505" s="7" t="s">
        <v>91</v>
      </c>
      <c r="D505" s="7">
        <v>7</v>
      </c>
      <c r="E505" s="7" t="s">
        <v>170</v>
      </c>
      <c r="F505" s="9">
        <v>6.69</v>
      </c>
    </row>
    <row r="506" spans="1:6" x14ac:dyDescent="0.35">
      <c r="A506" s="10">
        <v>1148</v>
      </c>
      <c r="B506" s="7">
        <v>4</v>
      </c>
      <c r="C506" s="7" t="s">
        <v>90</v>
      </c>
      <c r="D506" s="7">
        <v>2</v>
      </c>
      <c r="E506" s="7" t="s">
        <v>165</v>
      </c>
      <c r="F506" s="9">
        <v>1.67</v>
      </c>
    </row>
    <row r="507" spans="1:6" x14ac:dyDescent="0.35">
      <c r="A507" s="10">
        <v>1148</v>
      </c>
      <c r="B507" s="7">
        <v>5</v>
      </c>
      <c r="C507" s="7" t="s">
        <v>92</v>
      </c>
      <c r="D507" s="7">
        <v>3</v>
      </c>
      <c r="E507" s="7" t="s">
        <v>179</v>
      </c>
      <c r="F507" s="9">
        <v>5.86</v>
      </c>
    </row>
    <row r="508" spans="1:6" x14ac:dyDescent="0.35">
      <c r="A508" s="10">
        <v>1149</v>
      </c>
      <c r="B508" s="7">
        <v>1</v>
      </c>
      <c r="C508" s="7" t="s">
        <v>98</v>
      </c>
      <c r="D508" s="7">
        <v>4</v>
      </c>
      <c r="E508" s="7" t="s">
        <v>165</v>
      </c>
      <c r="F508" s="9">
        <v>1.67</v>
      </c>
    </row>
    <row r="509" spans="1:6" x14ac:dyDescent="0.35">
      <c r="A509" s="10">
        <v>1149</v>
      </c>
      <c r="B509" s="7">
        <v>2</v>
      </c>
      <c r="C509" s="7" t="s">
        <v>145</v>
      </c>
      <c r="D509" s="7">
        <v>7</v>
      </c>
      <c r="E509" s="7" t="s">
        <v>179</v>
      </c>
      <c r="F509" s="9">
        <v>5.86</v>
      </c>
    </row>
    <row r="510" spans="1:6" x14ac:dyDescent="0.35">
      <c r="A510" s="10">
        <v>1150</v>
      </c>
      <c r="B510" s="7">
        <v>1</v>
      </c>
      <c r="C510" s="7" t="s">
        <v>157</v>
      </c>
      <c r="D510" s="7">
        <v>6</v>
      </c>
      <c r="E510" s="7" t="s">
        <v>165</v>
      </c>
      <c r="F510" s="9">
        <v>1.67</v>
      </c>
    </row>
    <row r="511" spans="1:6" x14ac:dyDescent="0.35">
      <c r="A511" s="10">
        <v>1150</v>
      </c>
      <c r="B511" s="7">
        <v>2</v>
      </c>
      <c r="C511" s="7" t="s">
        <v>101</v>
      </c>
      <c r="D511" s="7">
        <v>3</v>
      </c>
      <c r="E511" s="7" t="s">
        <v>179</v>
      </c>
      <c r="F511" s="9">
        <v>5.86</v>
      </c>
    </row>
    <row r="512" spans="1:6" x14ac:dyDescent="0.35">
      <c r="A512" s="10">
        <v>1150</v>
      </c>
      <c r="B512" s="7">
        <v>3</v>
      </c>
      <c r="C512" s="7" t="s">
        <v>70</v>
      </c>
      <c r="D512" s="7">
        <v>5</v>
      </c>
      <c r="E512" s="7" t="s">
        <v>179</v>
      </c>
      <c r="F512" s="9">
        <v>5.86</v>
      </c>
    </row>
    <row r="513" spans="1:6" x14ac:dyDescent="0.35">
      <c r="A513" s="10">
        <v>1151</v>
      </c>
      <c r="B513" s="7">
        <v>1</v>
      </c>
      <c r="C513" s="7" t="s">
        <v>112</v>
      </c>
      <c r="D513" s="7">
        <v>7</v>
      </c>
      <c r="E513" s="7" t="s">
        <v>179</v>
      </c>
      <c r="F513" s="9">
        <v>5.86</v>
      </c>
    </row>
    <row r="514" spans="1:6" x14ac:dyDescent="0.35">
      <c r="A514" s="10">
        <v>1151</v>
      </c>
      <c r="B514" s="7">
        <v>2</v>
      </c>
      <c r="C514" s="7" t="s">
        <v>89</v>
      </c>
      <c r="D514" s="7">
        <v>1</v>
      </c>
      <c r="E514" s="7" t="s">
        <v>165</v>
      </c>
      <c r="F514" s="9">
        <v>1.67</v>
      </c>
    </row>
    <row r="515" spans="1:6" x14ac:dyDescent="0.35">
      <c r="A515" s="10">
        <v>1151</v>
      </c>
      <c r="B515" s="7">
        <v>3</v>
      </c>
      <c r="C515" s="7" t="s">
        <v>99</v>
      </c>
      <c r="D515" s="7">
        <v>3</v>
      </c>
      <c r="E515" s="7" t="s">
        <v>165</v>
      </c>
      <c r="F515" s="9">
        <v>1.67</v>
      </c>
    </row>
    <row r="516" spans="1:6" x14ac:dyDescent="0.35">
      <c r="A516" s="10">
        <v>1151</v>
      </c>
      <c r="B516" s="7">
        <v>4</v>
      </c>
      <c r="C516" s="7" t="s">
        <v>142</v>
      </c>
      <c r="D516" s="7">
        <v>7</v>
      </c>
      <c r="E516" s="7" t="s">
        <v>192</v>
      </c>
      <c r="F516" s="9">
        <v>2.09</v>
      </c>
    </row>
    <row r="517" spans="1:6" x14ac:dyDescent="0.35">
      <c r="A517" s="10">
        <v>1151</v>
      </c>
      <c r="B517" s="7">
        <v>5</v>
      </c>
      <c r="C517" s="7" t="s">
        <v>148</v>
      </c>
      <c r="D517" s="7">
        <v>5</v>
      </c>
      <c r="E517" s="7" t="s">
        <v>192</v>
      </c>
      <c r="F517" s="9">
        <v>2.09</v>
      </c>
    </row>
    <row r="518" spans="1:6" x14ac:dyDescent="0.35">
      <c r="A518" s="10">
        <v>1152</v>
      </c>
      <c r="B518" s="7">
        <v>1</v>
      </c>
      <c r="C518" s="7" t="s">
        <v>104</v>
      </c>
      <c r="D518" s="7">
        <v>6</v>
      </c>
      <c r="E518" s="7" t="s">
        <v>192</v>
      </c>
      <c r="F518" s="9">
        <v>2.09</v>
      </c>
    </row>
    <row r="519" spans="1:6" x14ac:dyDescent="0.35">
      <c r="A519" s="10">
        <v>1152</v>
      </c>
      <c r="B519" s="7">
        <v>2</v>
      </c>
      <c r="C519" s="7" t="s">
        <v>119</v>
      </c>
      <c r="D519" s="7">
        <v>3</v>
      </c>
      <c r="E519" s="7" t="s">
        <v>165</v>
      </c>
      <c r="F519" s="9">
        <v>1.67</v>
      </c>
    </row>
    <row r="520" spans="1:6" x14ac:dyDescent="0.35">
      <c r="A520" s="10">
        <v>1152</v>
      </c>
      <c r="B520" s="7">
        <v>3</v>
      </c>
      <c r="C520" s="7" t="s">
        <v>65</v>
      </c>
      <c r="D520" s="7">
        <v>7</v>
      </c>
      <c r="E520" s="7" t="s">
        <v>175</v>
      </c>
      <c r="F520" s="9">
        <v>4.18</v>
      </c>
    </row>
    <row r="521" spans="1:6" x14ac:dyDescent="0.35">
      <c r="A521" s="10">
        <v>1153</v>
      </c>
      <c r="B521" s="7">
        <v>1</v>
      </c>
      <c r="C521" s="7" t="s">
        <v>122</v>
      </c>
      <c r="D521" s="7">
        <v>1</v>
      </c>
      <c r="E521" s="7" t="s">
        <v>167</v>
      </c>
      <c r="F521" s="9">
        <v>8.3699999999999992</v>
      </c>
    </row>
    <row r="522" spans="1:6" x14ac:dyDescent="0.35">
      <c r="A522" s="10">
        <v>1153</v>
      </c>
      <c r="B522" s="7">
        <v>2</v>
      </c>
      <c r="C522" s="7" t="s">
        <v>154</v>
      </c>
      <c r="D522" s="7">
        <v>3</v>
      </c>
      <c r="E522" s="7" t="s">
        <v>167</v>
      </c>
      <c r="F522" s="9">
        <v>8.3699999999999992</v>
      </c>
    </row>
    <row r="523" spans="1:6" x14ac:dyDescent="0.35">
      <c r="A523" s="10">
        <v>1153</v>
      </c>
      <c r="B523" s="7">
        <v>3</v>
      </c>
      <c r="C523" s="7" t="s">
        <v>133</v>
      </c>
      <c r="D523" s="7">
        <v>3</v>
      </c>
      <c r="E523" s="7" t="s">
        <v>175</v>
      </c>
      <c r="F523" s="9">
        <v>4.18</v>
      </c>
    </row>
    <row r="524" spans="1:6" x14ac:dyDescent="0.35">
      <c r="A524" s="10">
        <v>1153</v>
      </c>
      <c r="B524" s="7">
        <v>4</v>
      </c>
      <c r="C524" s="7" t="s">
        <v>136</v>
      </c>
      <c r="D524" s="7">
        <v>2</v>
      </c>
      <c r="E524" s="7" t="s">
        <v>177</v>
      </c>
      <c r="F524" s="9">
        <v>5.0199999999999996</v>
      </c>
    </row>
    <row r="525" spans="1:6" x14ac:dyDescent="0.35">
      <c r="A525" s="10">
        <v>1153</v>
      </c>
      <c r="B525" s="7">
        <v>5</v>
      </c>
      <c r="C525" s="7" t="s">
        <v>114</v>
      </c>
      <c r="D525" s="7">
        <v>3</v>
      </c>
      <c r="E525" s="7" t="s">
        <v>197</v>
      </c>
      <c r="F525" s="9">
        <v>3.76</v>
      </c>
    </row>
    <row r="526" spans="1:6" x14ac:dyDescent="0.35">
      <c r="A526" s="10">
        <v>1154</v>
      </c>
      <c r="B526" s="7">
        <v>1</v>
      </c>
      <c r="C526" s="7" t="s">
        <v>92</v>
      </c>
      <c r="D526" s="7">
        <v>1</v>
      </c>
      <c r="E526" s="7" t="s">
        <v>179</v>
      </c>
      <c r="F526" s="9">
        <v>5.86</v>
      </c>
    </row>
    <row r="527" spans="1:6" x14ac:dyDescent="0.35">
      <c r="A527" s="10">
        <v>1154</v>
      </c>
      <c r="B527" s="7">
        <v>2</v>
      </c>
      <c r="C527" s="7" t="s">
        <v>140</v>
      </c>
      <c r="D527" s="7">
        <v>5</v>
      </c>
      <c r="E527" s="7" t="s">
        <v>167</v>
      </c>
      <c r="F527" s="9">
        <v>8.3699999999999992</v>
      </c>
    </row>
    <row r="528" spans="1:6" x14ac:dyDescent="0.35">
      <c r="A528" s="10">
        <v>1155</v>
      </c>
      <c r="B528" s="7">
        <v>1</v>
      </c>
      <c r="C528" s="7" t="s">
        <v>155</v>
      </c>
      <c r="D528" s="7">
        <v>4</v>
      </c>
      <c r="E528" s="7" t="s">
        <v>167</v>
      </c>
      <c r="F528" s="9">
        <v>8.3699999999999992</v>
      </c>
    </row>
    <row r="529" spans="1:6" x14ac:dyDescent="0.35">
      <c r="A529" s="10">
        <v>1155</v>
      </c>
      <c r="B529" s="7">
        <v>2</v>
      </c>
      <c r="C529" s="7" t="s">
        <v>135</v>
      </c>
      <c r="D529" s="7">
        <v>5</v>
      </c>
      <c r="E529" s="7" t="s">
        <v>167</v>
      </c>
      <c r="F529" s="9">
        <v>8.3699999999999992</v>
      </c>
    </row>
    <row r="530" spans="1:6" x14ac:dyDescent="0.35">
      <c r="A530" s="10">
        <v>1155</v>
      </c>
      <c r="B530" s="7">
        <v>3</v>
      </c>
      <c r="C530" s="7" t="s">
        <v>98</v>
      </c>
      <c r="D530" s="7">
        <v>1</v>
      </c>
      <c r="E530" s="7" t="s">
        <v>165</v>
      </c>
      <c r="F530" s="9">
        <v>1.67</v>
      </c>
    </row>
    <row r="531" spans="1:6" x14ac:dyDescent="0.35">
      <c r="A531" s="10">
        <v>1156</v>
      </c>
      <c r="B531" s="7">
        <v>1</v>
      </c>
      <c r="C531" s="7" t="s">
        <v>48</v>
      </c>
      <c r="D531" s="7">
        <v>7</v>
      </c>
      <c r="E531" s="7" t="s">
        <v>165</v>
      </c>
      <c r="F531" s="9">
        <v>1.67</v>
      </c>
    </row>
    <row r="532" spans="1:6" x14ac:dyDescent="0.35">
      <c r="A532" s="10">
        <v>1156</v>
      </c>
      <c r="B532" s="7">
        <v>2</v>
      </c>
      <c r="C532" s="7" t="s">
        <v>78</v>
      </c>
      <c r="D532" s="7">
        <v>7</v>
      </c>
      <c r="E532" s="7" t="s">
        <v>179</v>
      </c>
      <c r="F532" s="9">
        <v>5.86</v>
      </c>
    </row>
    <row r="533" spans="1:6" x14ac:dyDescent="0.35">
      <c r="A533" s="10">
        <v>1157</v>
      </c>
      <c r="B533" s="7">
        <v>1</v>
      </c>
      <c r="C533" s="7" t="s">
        <v>88</v>
      </c>
      <c r="D533" s="7">
        <v>3</v>
      </c>
      <c r="E533" s="7" t="s">
        <v>175</v>
      </c>
      <c r="F533" s="9">
        <v>4.18</v>
      </c>
    </row>
    <row r="534" spans="1:6" x14ac:dyDescent="0.35">
      <c r="A534" s="10">
        <v>1157</v>
      </c>
      <c r="B534" s="7">
        <v>2</v>
      </c>
      <c r="C534" s="7" t="s">
        <v>155</v>
      </c>
      <c r="D534" s="7">
        <v>5</v>
      </c>
      <c r="E534" s="7" t="s">
        <v>167</v>
      </c>
      <c r="F534" s="9">
        <v>8.3699999999999992</v>
      </c>
    </row>
    <row r="535" spans="1:6" x14ac:dyDescent="0.35">
      <c r="A535" s="10">
        <v>1158</v>
      </c>
      <c r="B535" s="7">
        <v>1</v>
      </c>
      <c r="C535" s="7" t="s">
        <v>100</v>
      </c>
      <c r="D535" s="7">
        <v>7</v>
      </c>
      <c r="E535" s="7" t="s">
        <v>170</v>
      </c>
      <c r="F535" s="9">
        <v>6.69</v>
      </c>
    </row>
    <row r="536" spans="1:6" x14ac:dyDescent="0.35">
      <c r="A536" s="10">
        <v>1158</v>
      </c>
      <c r="B536" s="7">
        <v>2</v>
      </c>
      <c r="C536" s="7" t="s">
        <v>123</v>
      </c>
      <c r="D536" s="7">
        <v>2</v>
      </c>
      <c r="E536" s="7" t="s">
        <v>179</v>
      </c>
      <c r="F536" s="9">
        <v>5.86</v>
      </c>
    </row>
    <row r="537" spans="1:6" x14ac:dyDescent="0.35">
      <c r="A537" s="10">
        <v>1158</v>
      </c>
      <c r="B537" s="7">
        <v>3</v>
      </c>
      <c r="C537" s="7" t="s">
        <v>85</v>
      </c>
      <c r="D537" s="7">
        <v>4</v>
      </c>
      <c r="E537" s="7" t="s">
        <v>165</v>
      </c>
      <c r="F537" s="9">
        <v>1.67</v>
      </c>
    </row>
    <row r="538" spans="1:6" x14ac:dyDescent="0.35">
      <c r="A538" s="10">
        <v>1158</v>
      </c>
      <c r="B538" s="7">
        <v>4</v>
      </c>
      <c r="C538" s="7" t="s">
        <v>111</v>
      </c>
      <c r="D538" s="7">
        <v>3</v>
      </c>
      <c r="E538" s="7" t="s">
        <v>179</v>
      </c>
      <c r="F538" s="9">
        <v>5.86</v>
      </c>
    </row>
    <row r="539" spans="1:6" x14ac:dyDescent="0.35">
      <c r="A539" s="10">
        <v>1158</v>
      </c>
      <c r="B539" s="7">
        <v>5</v>
      </c>
      <c r="C539" s="7" t="s">
        <v>90</v>
      </c>
      <c r="D539" s="7">
        <v>5</v>
      </c>
      <c r="E539" s="7" t="s">
        <v>165</v>
      </c>
      <c r="F539" s="9">
        <v>1.67</v>
      </c>
    </row>
    <row r="540" spans="1:6" x14ac:dyDescent="0.35">
      <c r="A540" s="10">
        <v>1159</v>
      </c>
      <c r="B540" s="7">
        <v>1</v>
      </c>
      <c r="C540" s="7" t="s">
        <v>89</v>
      </c>
      <c r="D540" s="7">
        <v>7</v>
      </c>
      <c r="E540" s="7" t="s">
        <v>165</v>
      </c>
      <c r="F540" s="9">
        <v>1.67</v>
      </c>
    </row>
    <row r="541" spans="1:6" x14ac:dyDescent="0.35">
      <c r="A541" s="10">
        <v>1159</v>
      </c>
      <c r="B541" s="7">
        <v>2</v>
      </c>
      <c r="C541" s="7" t="s">
        <v>112</v>
      </c>
      <c r="D541" s="7">
        <v>1</v>
      </c>
      <c r="E541" s="7" t="s">
        <v>179</v>
      </c>
      <c r="F541" s="9">
        <v>5.86</v>
      </c>
    </row>
    <row r="542" spans="1:6" x14ac:dyDescent="0.35">
      <c r="A542" s="10">
        <v>1160</v>
      </c>
      <c r="B542" s="7">
        <v>1</v>
      </c>
      <c r="C542" s="7" t="s">
        <v>154</v>
      </c>
      <c r="D542" s="7">
        <v>1</v>
      </c>
      <c r="E542" s="7" t="s">
        <v>167</v>
      </c>
      <c r="F542" s="9">
        <v>8.3699999999999992</v>
      </c>
    </row>
    <row r="543" spans="1:6" x14ac:dyDescent="0.35">
      <c r="A543" s="10">
        <v>1160</v>
      </c>
      <c r="B543" s="7">
        <v>2</v>
      </c>
      <c r="C543" s="7" t="s">
        <v>57</v>
      </c>
      <c r="D543" s="7">
        <v>3</v>
      </c>
      <c r="E543" s="7" t="s">
        <v>170</v>
      </c>
      <c r="F543" s="9">
        <v>6.69</v>
      </c>
    </row>
    <row r="544" spans="1:6" x14ac:dyDescent="0.35">
      <c r="A544" s="10">
        <v>1160</v>
      </c>
      <c r="B544" s="7">
        <v>3</v>
      </c>
      <c r="C544" s="7" t="s">
        <v>121</v>
      </c>
      <c r="D544" s="7">
        <v>2</v>
      </c>
      <c r="E544" s="7" t="s">
        <v>197</v>
      </c>
      <c r="F544" s="9">
        <v>3.76</v>
      </c>
    </row>
    <row r="545" spans="1:6" x14ac:dyDescent="0.35">
      <c r="A545" s="10">
        <v>1161</v>
      </c>
      <c r="B545" s="7">
        <v>1</v>
      </c>
      <c r="C545" s="7" t="s">
        <v>88</v>
      </c>
      <c r="D545" s="7">
        <v>6</v>
      </c>
      <c r="E545" s="7" t="s">
        <v>175</v>
      </c>
      <c r="F545" s="9">
        <v>4.18</v>
      </c>
    </row>
    <row r="546" spans="1:6" x14ac:dyDescent="0.35">
      <c r="A546" s="10">
        <v>1161</v>
      </c>
      <c r="B546" s="7">
        <v>2</v>
      </c>
      <c r="C546" s="7" t="s">
        <v>143</v>
      </c>
      <c r="D546" s="7">
        <v>4</v>
      </c>
      <c r="E546" s="7" t="s">
        <v>167</v>
      </c>
      <c r="F546" s="9">
        <v>8.3699999999999992</v>
      </c>
    </row>
    <row r="547" spans="1:6" x14ac:dyDescent="0.35">
      <c r="A547" s="10">
        <v>1162</v>
      </c>
      <c r="B547" s="7">
        <v>1</v>
      </c>
      <c r="C547" s="7" t="s">
        <v>140</v>
      </c>
      <c r="D547" s="7">
        <v>4</v>
      </c>
      <c r="E547" s="7" t="s">
        <v>167</v>
      </c>
      <c r="F547" s="9">
        <v>8.3699999999999992</v>
      </c>
    </row>
    <row r="548" spans="1:6" x14ac:dyDescent="0.35">
      <c r="A548" s="10">
        <v>1162</v>
      </c>
      <c r="B548" s="7">
        <v>2</v>
      </c>
      <c r="C548" s="7" t="s">
        <v>142</v>
      </c>
      <c r="D548" s="7">
        <v>6</v>
      </c>
      <c r="E548" s="7" t="s">
        <v>192</v>
      </c>
      <c r="F548" s="9">
        <v>2.09</v>
      </c>
    </row>
    <row r="549" spans="1:6" x14ac:dyDescent="0.35">
      <c r="A549" s="10">
        <v>1162</v>
      </c>
      <c r="B549" s="7">
        <v>3</v>
      </c>
      <c r="C549" s="7" t="s">
        <v>157</v>
      </c>
      <c r="D549" s="7">
        <v>6</v>
      </c>
      <c r="E549" s="7" t="s">
        <v>165</v>
      </c>
      <c r="F549" s="9">
        <v>1.67</v>
      </c>
    </row>
    <row r="550" spans="1:6" x14ac:dyDescent="0.35">
      <c r="A550" s="10">
        <v>1163</v>
      </c>
      <c r="B550" s="7">
        <v>1</v>
      </c>
      <c r="C550" s="7" t="s">
        <v>140</v>
      </c>
      <c r="D550" s="7">
        <v>7</v>
      </c>
      <c r="E550" s="7" t="s">
        <v>167</v>
      </c>
      <c r="F550" s="9">
        <v>8.3699999999999992</v>
      </c>
    </row>
    <row r="551" spans="1:6" x14ac:dyDescent="0.35">
      <c r="A551" s="10">
        <v>1163</v>
      </c>
      <c r="B551" s="7">
        <v>2</v>
      </c>
      <c r="C551" s="7" t="s">
        <v>84</v>
      </c>
      <c r="D551" s="7">
        <v>6</v>
      </c>
      <c r="E551" s="7" t="s">
        <v>192</v>
      </c>
      <c r="F551" s="9">
        <v>2.09</v>
      </c>
    </row>
    <row r="552" spans="1:6" x14ac:dyDescent="0.35">
      <c r="A552" s="10">
        <v>1163</v>
      </c>
      <c r="B552" s="7">
        <v>3</v>
      </c>
      <c r="C552" s="7" t="s">
        <v>119</v>
      </c>
      <c r="D552" s="7">
        <v>6</v>
      </c>
      <c r="E552" s="7" t="s">
        <v>165</v>
      </c>
      <c r="F552" s="9">
        <v>1.67</v>
      </c>
    </row>
    <row r="553" spans="1:6" x14ac:dyDescent="0.35">
      <c r="A553" s="10">
        <v>1164</v>
      </c>
      <c r="B553" s="7">
        <v>1</v>
      </c>
      <c r="C553" s="7" t="s">
        <v>146</v>
      </c>
      <c r="D553" s="7">
        <v>2</v>
      </c>
      <c r="E553" s="7" t="s">
        <v>175</v>
      </c>
      <c r="F553" s="9">
        <v>4.18</v>
      </c>
    </row>
    <row r="554" spans="1:6" x14ac:dyDescent="0.35">
      <c r="A554" s="10">
        <v>1164</v>
      </c>
      <c r="B554" s="7">
        <v>2</v>
      </c>
      <c r="C554" s="7" t="s">
        <v>102</v>
      </c>
      <c r="D554" s="7">
        <v>1</v>
      </c>
      <c r="E554" s="7" t="s">
        <v>192</v>
      </c>
      <c r="F554" s="9">
        <v>2.09</v>
      </c>
    </row>
    <row r="555" spans="1:6" x14ac:dyDescent="0.35">
      <c r="A555" s="10">
        <v>1164</v>
      </c>
      <c r="B555" s="7">
        <v>3</v>
      </c>
      <c r="C555" s="7" t="s">
        <v>140</v>
      </c>
      <c r="D555" s="7">
        <v>4</v>
      </c>
      <c r="E555" s="7" t="s">
        <v>167</v>
      </c>
      <c r="F555" s="9">
        <v>8.3699999999999992</v>
      </c>
    </row>
    <row r="556" spans="1:6" x14ac:dyDescent="0.35">
      <c r="A556" s="10">
        <v>1165</v>
      </c>
      <c r="B556" s="7">
        <v>1</v>
      </c>
      <c r="C556" s="7" t="s">
        <v>101</v>
      </c>
      <c r="D556" s="7">
        <v>7</v>
      </c>
      <c r="E556" s="7" t="s">
        <v>179</v>
      </c>
      <c r="F556" s="9">
        <v>5.86</v>
      </c>
    </row>
    <row r="557" spans="1:6" x14ac:dyDescent="0.35">
      <c r="A557" s="10">
        <v>1165</v>
      </c>
      <c r="B557" s="7">
        <v>2</v>
      </c>
      <c r="C557" s="7" t="s">
        <v>54</v>
      </c>
      <c r="D557" s="7">
        <v>6</v>
      </c>
      <c r="E557" s="7" t="s">
        <v>167</v>
      </c>
      <c r="F557" s="9">
        <v>8.3699999999999992</v>
      </c>
    </row>
    <row r="558" spans="1:6" x14ac:dyDescent="0.35">
      <c r="A558" s="10">
        <v>1166</v>
      </c>
      <c r="B558" s="7">
        <v>1</v>
      </c>
      <c r="C558" s="7" t="s">
        <v>136</v>
      </c>
      <c r="D558" s="7">
        <v>2</v>
      </c>
      <c r="E558" s="7" t="s">
        <v>177</v>
      </c>
      <c r="F558" s="9">
        <v>5.0199999999999996</v>
      </c>
    </row>
    <row r="559" spans="1:6" x14ac:dyDescent="0.35">
      <c r="A559" s="10">
        <v>1166</v>
      </c>
      <c r="B559" s="7">
        <v>2</v>
      </c>
      <c r="C559" s="7" t="s">
        <v>74</v>
      </c>
      <c r="D559" s="7">
        <v>3</v>
      </c>
      <c r="E559" s="7" t="s">
        <v>165</v>
      </c>
      <c r="F559" s="9">
        <v>1.67</v>
      </c>
    </row>
    <row r="560" spans="1:6" x14ac:dyDescent="0.35">
      <c r="A560" s="10">
        <v>1166</v>
      </c>
      <c r="B560" s="7">
        <v>3</v>
      </c>
      <c r="C560" s="7" t="s">
        <v>66</v>
      </c>
      <c r="D560" s="7">
        <v>6</v>
      </c>
      <c r="E560" s="7" t="s">
        <v>177</v>
      </c>
      <c r="F560" s="9">
        <v>5.0199999999999996</v>
      </c>
    </row>
    <row r="561" spans="1:6" x14ac:dyDescent="0.35">
      <c r="A561" s="10">
        <v>1167</v>
      </c>
      <c r="B561" s="7">
        <v>1</v>
      </c>
      <c r="C561" s="7" t="s">
        <v>93</v>
      </c>
      <c r="D561" s="7">
        <v>3</v>
      </c>
      <c r="E561" s="7" t="s">
        <v>175</v>
      </c>
      <c r="F561" s="9">
        <v>4.18</v>
      </c>
    </row>
    <row r="562" spans="1:6" x14ac:dyDescent="0.35">
      <c r="A562" s="10">
        <v>1167</v>
      </c>
      <c r="B562" s="7">
        <v>2</v>
      </c>
      <c r="C562" s="7" t="s">
        <v>150</v>
      </c>
      <c r="D562" s="7">
        <v>1</v>
      </c>
      <c r="E562" s="7" t="s">
        <v>167</v>
      </c>
      <c r="F562" s="9">
        <v>8.3699999999999992</v>
      </c>
    </row>
    <row r="563" spans="1:6" x14ac:dyDescent="0.35">
      <c r="A563" s="10">
        <v>1168</v>
      </c>
      <c r="B563" s="7">
        <v>1</v>
      </c>
      <c r="C563" s="7" t="s">
        <v>134</v>
      </c>
      <c r="D563" s="7">
        <v>3</v>
      </c>
      <c r="E563" s="7" t="s">
        <v>177</v>
      </c>
      <c r="F563" s="9">
        <v>5.0199999999999996</v>
      </c>
    </row>
    <row r="564" spans="1:6" x14ac:dyDescent="0.35">
      <c r="A564" s="10">
        <v>1168</v>
      </c>
      <c r="B564" s="7">
        <v>2</v>
      </c>
      <c r="C564" s="7" t="s">
        <v>120</v>
      </c>
      <c r="D564" s="7">
        <v>6</v>
      </c>
      <c r="E564" s="7" t="s">
        <v>197</v>
      </c>
      <c r="F564" s="9">
        <v>3.76</v>
      </c>
    </row>
    <row r="565" spans="1:6" x14ac:dyDescent="0.35">
      <c r="A565" s="10">
        <v>1169</v>
      </c>
      <c r="B565" s="7">
        <v>1</v>
      </c>
      <c r="C565" s="7" t="s">
        <v>87</v>
      </c>
      <c r="D565" s="7">
        <v>5</v>
      </c>
      <c r="E565" s="7" t="s">
        <v>165</v>
      </c>
      <c r="F565" s="9">
        <v>1.67</v>
      </c>
    </row>
    <row r="566" spans="1:6" x14ac:dyDescent="0.35">
      <c r="A566" s="10">
        <v>1169</v>
      </c>
      <c r="B566" s="7">
        <v>2</v>
      </c>
      <c r="C566" s="7" t="s">
        <v>112</v>
      </c>
      <c r="D566" s="7">
        <v>2</v>
      </c>
      <c r="E566" s="7" t="s">
        <v>179</v>
      </c>
      <c r="F566" s="9">
        <v>5.86</v>
      </c>
    </row>
    <row r="567" spans="1:6" x14ac:dyDescent="0.35">
      <c r="A567" s="10">
        <v>1169</v>
      </c>
      <c r="B567" s="7">
        <v>3</v>
      </c>
      <c r="C567" s="7" t="s">
        <v>93</v>
      </c>
      <c r="D567" s="7">
        <v>1</v>
      </c>
      <c r="E567" s="7" t="s">
        <v>175</v>
      </c>
      <c r="F567" s="9">
        <v>4.18</v>
      </c>
    </row>
    <row r="568" spans="1:6" x14ac:dyDescent="0.35">
      <c r="A568" s="10">
        <v>1169</v>
      </c>
      <c r="B568" s="7">
        <v>4</v>
      </c>
      <c r="C568" s="7" t="s">
        <v>79</v>
      </c>
      <c r="D568" s="7">
        <v>5</v>
      </c>
      <c r="E568" s="7" t="s">
        <v>192</v>
      </c>
      <c r="F568" s="9">
        <v>2.09</v>
      </c>
    </row>
    <row r="569" spans="1:6" x14ac:dyDescent="0.35">
      <c r="A569" s="10">
        <v>1170</v>
      </c>
      <c r="B569" s="7">
        <v>1</v>
      </c>
      <c r="C569" s="7" t="s">
        <v>88</v>
      </c>
      <c r="D569" s="7">
        <v>4</v>
      </c>
      <c r="E569" s="7" t="s">
        <v>175</v>
      </c>
      <c r="F569" s="9">
        <v>4.18</v>
      </c>
    </row>
    <row r="570" spans="1:6" x14ac:dyDescent="0.35">
      <c r="A570" s="10">
        <v>1170</v>
      </c>
      <c r="B570" s="7">
        <v>2</v>
      </c>
      <c r="C570" s="7" t="s">
        <v>149</v>
      </c>
      <c r="D570" s="7">
        <v>5</v>
      </c>
      <c r="E570" s="7" t="s">
        <v>175</v>
      </c>
      <c r="F570" s="9">
        <v>4.18</v>
      </c>
    </row>
    <row r="571" spans="1:6" x14ac:dyDescent="0.35">
      <c r="A571" s="10">
        <v>1170</v>
      </c>
      <c r="B571" s="7">
        <v>3</v>
      </c>
      <c r="C571" s="7" t="s">
        <v>133</v>
      </c>
      <c r="D571" s="7">
        <v>3</v>
      </c>
      <c r="E571" s="7" t="s">
        <v>175</v>
      </c>
      <c r="F571" s="9">
        <v>4.18</v>
      </c>
    </row>
    <row r="572" spans="1:6" x14ac:dyDescent="0.35">
      <c r="A572" s="10">
        <v>1170</v>
      </c>
      <c r="B572" s="7">
        <v>4</v>
      </c>
      <c r="C572" s="7" t="s">
        <v>98</v>
      </c>
      <c r="D572" s="7">
        <v>6</v>
      </c>
      <c r="E572" s="7" t="s">
        <v>165</v>
      </c>
      <c r="F572" s="9">
        <v>1.67</v>
      </c>
    </row>
    <row r="573" spans="1:6" x14ac:dyDescent="0.35">
      <c r="A573" s="10">
        <v>1170</v>
      </c>
      <c r="B573" s="7">
        <v>5</v>
      </c>
      <c r="C573" s="7" t="s">
        <v>115</v>
      </c>
      <c r="D573" s="7">
        <v>5</v>
      </c>
      <c r="E573" s="7" t="s">
        <v>192</v>
      </c>
      <c r="F573" s="9">
        <v>2.09</v>
      </c>
    </row>
    <row r="574" spans="1:6" x14ac:dyDescent="0.35">
      <c r="A574" s="10">
        <v>1171</v>
      </c>
      <c r="B574" s="7">
        <v>1</v>
      </c>
      <c r="C574" s="7" t="s">
        <v>70</v>
      </c>
      <c r="D574" s="7">
        <v>5</v>
      </c>
      <c r="E574" s="7" t="s">
        <v>179</v>
      </c>
      <c r="F574" s="9">
        <v>5.86</v>
      </c>
    </row>
    <row r="575" spans="1:6" x14ac:dyDescent="0.35">
      <c r="A575" s="10">
        <v>1171</v>
      </c>
      <c r="B575" s="7">
        <v>2</v>
      </c>
      <c r="C575" s="7" t="s">
        <v>112</v>
      </c>
      <c r="D575" s="7">
        <v>7</v>
      </c>
      <c r="E575" s="7" t="s">
        <v>179</v>
      </c>
      <c r="F575" s="9">
        <v>5.86</v>
      </c>
    </row>
    <row r="576" spans="1:6" x14ac:dyDescent="0.35">
      <c r="A576" s="10">
        <v>1171</v>
      </c>
      <c r="B576" s="7">
        <v>3</v>
      </c>
      <c r="C576" s="7" t="s">
        <v>96</v>
      </c>
      <c r="D576" s="7">
        <v>7</v>
      </c>
      <c r="E576" s="7" t="s">
        <v>179</v>
      </c>
      <c r="F576" s="9">
        <v>5.86</v>
      </c>
    </row>
    <row r="577" spans="1:6" x14ac:dyDescent="0.35">
      <c r="A577" s="10">
        <v>1171</v>
      </c>
      <c r="B577" s="7">
        <v>4</v>
      </c>
      <c r="C577" s="7" t="s">
        <v>60</v>
      </c>
      <c r="D577" s="7">
        <v>6</v>
      </c>
      <c r="E577" s="7" t="s">
        <v>165</v>
      </c>
      <c r="F577" s="9">
        <v>1.67</v>
      </c>
    </row>
    <row r="578" spans="1:6" x14ac:dyDescent="0.35">
      <c r="A578" s="10">
        <v>1172</v>
      </c>
      <c r="B578" s="7">
        <v>1</v>
      </c>
      <c r="C578" s="7" t="s">
        <v>145</v>
      </c>
      <c r="D578" s="7">
        <v>6</v>
      </c>
      <c r="E578" s="7" t="s">
        <v>179</v>
      </c>
      <c r="F578" s="9">
        <v>5.86</v>
      </c>
    </row>
    <row r="579" spans="1:6" x14ac:dyDescent="0.35">
      <c r="A579" s="10">
        <v>1172</v>
      </c>
      <c r="B579" s="7">
        <v>2</v>
      </c>
      <c r="C579" s="7" t="s">
        <v>124</v>
      </c>
      <c r="D579" s="7">
        <v>6</v>
      </c>
      <c r="E579" s="7" t="s">
        <v>167</v>
      </c>
      <c r="F579" s="9">
        <v>8.3699999999999992</v>
      </c>
    </row>
    <row r="580" spans="1:6" x14ac:dyDescent="0.35">
      <c r="A580" s="10">
        <v>1172</v>
      </c>
      <c r="B580" s="7">
        <v>3</v>
      </c>
      <c r="C580" s="7" t="s">
        <v>105</v>
      </c>
      <c r="D580" s="7">
        <v>1</v>
      </c>
      <c r="E580" s="7" t="s">
        <v>165</v>
      </c>
      <c r="F580" s="9">
        <v>1.67</v>
      </c>
    </row>
    <row r="581" spans="1:6" x14ac:dyDescent="0.35">
      <c r="A581" s="10">
        <v>1172</v>
      </c>
      <c r="B581" s="7">
        <v>4</v>
      </c>
      <c r="C581" s="7" t="s">
        <v>106</v>
      </c>
      <c r="D581" s="7">
        <v>5</v>
      </c>
      <c r="E581" s="7" t="s">
        <v>167</v>
      </c>
      <c r="F581" s="9">
        <v>8.3699999999999992</v>
      </c>
    </row>
    <row r="582" spans="1:6" x14ac:dyDescent="0.35">
      <c r="A582" s="10">
        <v>1173</v>
      </c>
      <c r="B582" s="7">
        <v>1</v>
      </c>
      <c r="C582" s="7" t="s">
        <v>106</v>
      </c>
      <c r="D582" s="7">
        <v>1</v>
      </c>
      <c r="E582" s="7" t="s">
        <v>167</v>
      </c>
      <c r="F582" s="9">
        <v>8.3699999999999992</v>
      </c>
    </row>
    <row r="583" spans="1:6" x14ac:dyDescent="0.35">
      <c r="A583" s="10">
        <v>1173</v>
      </c>
      <c r="B583" s="7">
        <v>2</v>
      </c>
      <c r="C583" s="7" t="s">
        <v>97</v>
      </c>
      <c r="D583" s="7">
        <v>2</v>
      </c>
      <c r="E583" s="7" t="s">
        <v>165</v>
      </c>
      <c r="F583" s="9">
        <v>1.67</v>
      </c>
    </row>
    <row r="584" spans="1:6" x14ac:dyDescent="0.35">
      <c r="A584" s="10">
        <v>1174</v>
      </c>
      <c r="B584" s="7">
        <v>1</v>
      </c>
      <c r="C584" s="7" t="s">
        <v>60</v>
      </c>
      <c r="D584" s="7">
        <v>7</v>
      </c>
      <c r="E584" s="7" t="s">
        <v>165</v>
      </c>
      <c r="F584" s="9">
        <v>1.67</v>
      </c>
    </row>
    <row r="585" spans="1:6" x14ac:dyDescent="0.35">
      <c r="A585" s="10">
        <v>1174</v>
      </c>
      <c r="B585" s="7">
        <v>2</v>
      </c>
      <c r="C585" s="7" t="s">
        <v>68</v>
      </c>
      <c r="D585" s="7">
        <v>7</v>
      </c>
      <c r="E585" s="7" t="s">
        <v>170</v>
      </c>
      <c r="F585" s="9">
        <v>6.69</v>
      </c>
    </row>
    <row r="586" spans="1:6" x14ac:dyDescent="0.35">
      <c r="A586" s="10">
        <v>1174</v>
      </c>
      <c r="B586" s="7">
        <v>3</v>
      </c>
      <c r="C586" s="7" t="s">
        <v>113</v>
      </c>
      <c r="D586" s="7">
        <v>7</v>
      </c>
      <c r="E586" s="7" t="s">
        <v>177</v>
      </c>
      <c r="F586" s="9">
        <v>5.0199999999999996</v>
      </c>
    </row>
    <row r="587" spans="1:6" x14ac:dyDescent="0.35">
      <c r="A587" s="10">
        <v>1175</v>
      </c>
      <c r="B587" s="7">
        <v>1</v>
      </c>
      <c r="C587" s="7" t="s">
        <v>73</v>
      </c>
      <c r="D587" s="7">
        <v>1</v>
      </c>
      <c r="E587" s="7" t="s">
        <v>165</v>
      </c>
      <c r="F587" s="9">
        <v>1.67</v>
      </c>
    </row>
    <row r="588" spans="1:6" x14ac:dyDescent="0.35">
      <c r="A588" s="10">
        <v>1175</v>
      </c>
      <c r="B588" s="7">
        <v>2</v>
      </c>
      <c r="C588" s="7" t="s">
        <v>144</v>
      </c>
      <c r="D588" s="7">
        <v>7</v>
      </c>
      <c r="E588" s="7" t="s">
        <v>177</v>
      </c>
      <c r="F588" s="9">
        <v>5.0199999999999996</v>
      </c>
    </row>
    <row r="589" spans="1:6" x14ac:dyDescent="0.35">
      <c r="A589" s="10">
        <v>1175</v>
      </c>
      <c r="B589" s="7">
        <v>3</v>
      </c>
      <c r="C589" s="7" t="s">
        <v>108</v>
      </c>
      <c r="D589" s="7">
        <v>5</v>
      </c>
      <c r="E589" s="7" t="s">
        <v>177</v>
      </c>
      <c r="F589" s="9">
        <v>5.0199999999999996</v>
      </c>
    </row>
    <row r="590" spans="1:6" x14ac:dyDescent="0.35">
      <c r="A590" s="10">
        <v>1176</v>
      </c>
      <c r="B590" s="7">
        <v>1</v>
      </c>
      <c r="C590" s="7" t="s">
        <v>155</v>
      </c>
      <c r="D590" s="7">
        <v>6</v>
      </c>
      <c r="E590" s="7" t="s">
        <v>167</v>
      </c>
      <c r="F590" s="9">
        <v>8.3699999999999992</v>
      </c>
    </row>
    <row r="591" spans="1:6" x14ac:dyDescent="0.35">
      <c r="A591" s="10">
        <v>1176</v>
      </c>
      <c r="B591" s="7">
        <v>2</v>
      </c>
      <c r="C591" s="7" t="s">
        <v>126</v>
      </c>
      <c r="D591" s="7">
        <v>4</v>
      </c>
      <c r="E591" s="7" t="s">
        <v>192</v>
      </c>
      <c r="F591" s="9">
        <v>2.09</v>
      </c>
    </row>
    <row r="592" spans="1:6" x14ac:dyDescent="0.35">
      <c r="A592" s="10">
        <v>1177</v>
      </c>
      <c r="B592" s="7">
        <v>1</v>
      </c>
      <c r="C592" s="7" t="s">
        <v>137</v>
      </c>
      <c r="D592" s="7">
        <v>4</v>
      </c>
      <c r="E592" s="7" t="s">
        <v>165</v>
      </c>
      <c r="F592" s="9">
        <v>1.67</v>
      </c>
    </row>
    <row r="593" spans="1:6" x14ac:dyDescent="0.35">
      <c r="A593" s="10">
        <v>1177</v>
      </c>
      <c r="B593" s="7">
        <v>2</v>
      </c>
      <c r="C593" s="7" t="s">
        <v>128</v>
      </c>
      <c r="D593" s="7">
        <v>2</v>
      </c>
      <c r="E593" s="7" t="s">
        <v>177</v>
      </c>
      <c r="F593" s="9">
        <v>5.0199999999999996</v>
      </c>
    </row>
    <row r="594" spans="1:6" x14ac:dyDescent="0.35">
      <c r="A594" s="10">
        <v>1177</v>
      </c>
      <c r="B594" s="7">
        <v>3</v>
      </c>
      <c r="C594" s="7" t="s">
        <v>96</v>
      </c>
      <c r="D594" s="7">
        <v>6</v>
      </c>
      <c r="E594" s="7" t="s">
        <v>179</v>
      </c>
      <c r="F594" s="9">
        <v>5.86</v>
      </c>
    </row>
    <row r="595" spans="1:6" x14ac:dyDescent="0.35">
      <c r="A595" s="10">
        <v>1178</v>
      </c>
      <c r="B595" s="7">
        <v>1</v>
      </c>
      <c r="C595" s="7" t="s">
        <v>78</v>
      </c>
      <c r="D595" s="7">
        <v>3</v>
      </c>
      <c r="E595" s="7" t="s">
        <v>179</v>
      </c>
      <c r="F595" s="9">
        <v>5.86</v>
      </c>
    </row>
    <row r="596" spans="1:6" x14ac:dyDescent="0.35">
      <c r="A596" s="10">
        <v>1178</v>
      </c>
      <c r="B596" s="7">
        <v>2</v>
      </c>
      <c r="C596" s="7" t="s">
        <v>73</v>
      </c>
      <c r="D596" s="7">
        <v>5</v>
      </c>
      <c r="E596" s="7" t="s">
        <v>165</v>
      </c>
      <c r="F596" s="9">
        <v>1.67</v>
      </c>
    </row>
    <row r="597" spans="1:6" x14ac:dyDescent="0.35">
      <c r="A597" s="10">
        <v>1178</v>
      </c>
      <c r="B597" s="7">
        <v>3</v>
      </c>
      <c r="C597" s="7" t="s">
        <v>97</v>
      </c>
      <c r="D597" s="7">
        <v>7</v>
      </c>
      <c r="E597" s="7" t="s">
        <v>165</v>
      </c>
      <c r="F597" s="9">
        <v>1.67</v>
      </c>
    </row>
    <row r="598" spans="1:6" x14ac:dyDescent="0.35">
      <c r="A598" s="10">
        <v>1179</v>
      </c>
      <c r="B598" s="7">
        <v>1</v>
      </c>
      <c r="C598" s="7" t="s">
        <v>108</v>
      </c>
      <c r="D598" s="7">
        <v>7</v>
      </c>
      <c r="E598" s="7" t="s">
        <v>177</v>
      </c>
      <c r="F598" s="9">
        <v>5.0199999999999996</v>
      </c>
    </row>
    <row r="599" spans="1:6" x14ac:dyDescent="0.35">
      <c r="A599" s="10">
        <v>1179</v>
      </c>
      <c r="B599" s="7">
        <v>2</v>
      </c>
      <c r="C599" s="7" t="s">
        <v>66</v>
      </c>
      <c r="D599" s="7">
        <v>6</v>
      </c>
      <c r="E599" s="7" t="s">
        <v>177</v>
      </c>
      <c r="F599" s="9">
        <v>5.0199999999999996</v>
      </c>
    </row>
    <row r="600" spans="1:6" x14ac:dyDescent="0.35">
      <c r="A600" s="10">
        <v>1180</v>
      </c>
      <c r="B600" s="7">
        <v>1</v>
      </c>
      <c r="C600" s="7" t="s">
        <v>104</v>
      </c>
      <c r="D600" s="7">
        <v>1</v>
      </c>
      <c r="E600" s="7" t="s">
        <v>192</v>
      </c>
      <c r="F600" s="9">
        <v>2.09</v>
      </c>
    </row>
    <row r="601" spans="1:6" x14ac:dyDescent="0.35">
      <c r="A601" s="10">
        <v>1180</v>
      </c>
      <c r="B601" s="7">
        <v>2</v>
      </c>
      <c r="C601" s="7" t="s">
        <v>152</v>
      </c>
      <c r="D601" s="7">
        <v>5</v>
      </c>
      <c r="E601" s="7" t="s">
        <v>177</v>
      </c>
      <c r="F601" s="9">
        <v>5.0199999999999996</v>
      </c>
    </row>
    <row r="602" spans="1:6" x14ac:dyDescent="0.35">
      <c r="A602" s="10">
        <v>1180</v>
      </c>
      <c r="B602" s="7">
        <v>3</v>
      </c>
      <c r="C602" s="7" t="s">
        <v>100</v>
      </c>
      <c r="D602" s="7">
        <v>6</v>
      </c>
      <c r="E602" s="7" t="s">
        <v>170</v>
      </c>
      <c r="F602" s="9">
        <v>6.69</v>
      </c>
    </row>
    <row r="603" spans="1:6" x14ac:dyDescent="0.35">
      <c r="A603" s="10">
        <v>1181</v>
      </c>
      <c r="B603" s="7">
        <v>1</v>
      </c>
      <c r="C603" s="7" t="s">
        <v>93</v>
      </c>
      <c r="D603" s="7">
        <v>4</v>
      </c>
      <c r="E603" s="7" t="s">
        <v>175</v>
      </c>
      <c r="F603" s="9">
        <v>4.18</v>
      </c>
    </row>
    <row r="604" spans="1:6" x14ac:dyDescent="0.35">
      <c r="A604" s="10">
        <v>1181</v>
      </c>
      <c r="B604" s="7">
        <v>2</v>
      </c>
      <c r="C604" s="7" t="s">
        <v>94</v>
      </c>
      <c r="D604" s="7">
        <v>4</v>
      </c>
      <c r="E604" s="7" t="s">
        <v>170</v>
      </c>
      <c r="F604" s="9">
        <v>6.69</v>
      </c>
    </row>
    <row r="605" spans="1:6" x14ac:dyDescent="0.35">
      <c r="A605" s="10">
        <v>1181</v>
      </c>
      <c r="B605" s="7">
        <v>3</v>
      </c>
      <c r="C605" s="7" t="s">
        <v>75</v>
      </c>
      <c r="D605" s="7">
        <v>5</v>
      </c>
      <c r="E605" s="7" t="s">
        <v>165</v>
      </c>
      <c r="F605" s="9">
        <v>1.67</v>
      </c>
    </row>
    <row r="606" spans="1:6" x14ac:dyDescent="0.35">
      <c r="A606" s="10">
        <v>1182</v>
      </c>
      <c r="B606" s="7">
        <v>1</v>
      </c>
      <c r="C606" s="7" t="s">
        <v>87</v>
      </c>
      <c r="D606" s="7">
        <v>3</v>
      </c>
      <c r="E606" s="7" t="s">
        <v>165</v>
      </c>
      <c r="F606" s="9">
        <v>1.67</v>
      </c>
    </row>
    <row r="607" spans="1:6" x14ac:dyDescent="0.35">
      <c r="A607" s="10">
        <v>1182</v>
      </c>
      <c r="B607" s="7">
        <v>2</v>
      </c>
      <c r="C607" s="7" t="s">
        <v>78</v>
      </c>
      <c r="D607" s="7">
        <v>6</v>
      </c>
      <c r="E607" s="7" t="s">
        <v>179</v>
      </c>
      <c r="F607" s="9">
        <v>5.86</v>
      </c>
    </row>
    <row r="608" spans="1:6" x14ac:dyDescent="0.35">
      <c r="A608" s="10">
        <v>1182</v>
      </c>
      <c r="B608" s="7">
        <v>3</v>
      </c>
      <c r="C608" s="7" t="s">
        <v>69</v>
      </c>
      <c r="D608" s="7">
        <v>7</v>
      </c>
      <c r="E608" s="7" t="s">
        <v>170</v>
      </c>
      <c r="F608" s="9">
        <v>6.69</v>
      </c>
    </row>
    <row r="609" spans="1:6" x14ac:dyDescent="0.35">
      <c r="A609" s="10">
        <v>1182</v>
      </c>
      <c r="B609" s="7">
        <v>4</v>
      </c>
      <c r="C609" s="7" t="s">
        <v>98</v>
      </c>
      <c r="D609" s="7">
        <v>7</v>
      </c>
      <c r="E609" s="7" t="s">
        <v>165</v>
      </c>
      <c r="F609" s="9">
        <v>1.67</v>
      </c>
    </row>
    <row r="610" spans="1:6" x14ac:dyDescent="0.35">
      <c r="A610" s="10">
        <v>1183</v>
      </c>
      <c r="B610" s="7">
        <v>1</v>
      </c>
      <c r="C610" s="7" t="s">
        <v>96</v>
      </c>
      <c r="D610" s="7">
        <v>4</v>
      </c>
      <c r="E610" s="7" t="s">
        <v>179</v>
      </c>
      <c r="F610" s="9">
        <v>5.86</v>
      </c>
    </row>
    <row r="611" spans="1:6" x14ac:dyDescent="0.35">
      <c r="A611" s="10">
        <v>1183</v>
      </c>
      <c r="B611" s="7">
        <v>2</v>
      </c>
      <c r="C611" s="7" t="s">
        <v>84</v>
      </c>
      <c r="D611" s="7">
        <v>3</v>
      </c>
      <c r="E611" s="7" t="s">
        <v>192</v>
      </c>
      <c r="F611" s="9">
        <v>2.09</v>
      </c>
    </row>
    <row r="612" spans="1:6" x14ac:dyDescent="0.35">
      <c r="A612" s="10">
        <v>1183</v>
      </c>
      <c r="B612" s="7">
        <v>3</v>
      </c>
      <c r="C612" s="7" t="s">
        <v>140</v>
      </c>
      <c r="D612" s="7">
        <v>1</v>
      </c>
      <c r="E612" s="7" t="s">
        <v>167</v>
      </c>
      <c r="F612" s="9">
        <v>8.3699999999999992</v>
      </c>
    </row>
    <row r="613" spans="1:6" x14ac:dyDescent="0.35">
      <c r="A613" s="10">
        <v>1184</v>
      </c>
      <c r="B613" s="7">
        <v>1</v>
      </c>
      <c r="C613" s="7" t="s">
        <v>136</v>
      </c>
      <c r="D613" s="7">
        <v>3</v>
      </c>
      <c r="E613" s="7" t="s">
        <v>177</v>
      </c>
      <c r="F613" s="9">
        <v>5.0199999999999996</v>
      </c>
    </row>
    <row r="614" spans="1:6" x14ac:dyDescent="0.35">
      <c r="A614" s="10">
        <v>1184</v>
      </c>
      <c r="B614" s="7">
        <v>2</v>
      </c>
      <c r="C614" s="7" t="s">
        <v>63</v>
      </c>
      <c r="D614" s="7">
        <v>1</v>
      </c>
      <c r="E614" s="7" t="s">
        <v>165</v>
      </c>
      <c r="F614" s="9">
        <v>1.67</v>
      </c>
    </row>
    <row r="615" spans="1:6" x14ac:dyDescent="0.35">
      <c r="A615" s="10">
        <v>1184</v>
      </c>
      <c r="B615" s="7">
        <v>3</v>
      </c>
      <c r="C615" s="7" t="s">
        <v>113</v>
      </c>
      <c r="D615" s="7">
        <v>1</v>
      </c>
      <c r="E615" s="7" t="s">
        <v>177</v>
      </c>
      <c r="F615" s="9">
        <v>5.0199999999999996</v>
      </c>
    </row>
    <row r="616" spans="1:6" x14ac:dyDescent="0.35">
      <c r="A616" s="10">
        <v>1185</v>
      </c>
      <c r="B616" s="7">
        <v>1</v>
      </c>
      <c r="C616" s="7" t="s">
        <v>69</v>
      </c>
      <c r="D616" s="7">
        <v>6</v>
      </c>
      <c r="E616" s="7" t="s">
        <v>170</v>
      </c>
      <c r="F616" s="9">
        <v>6.69</v>
      </c>
    </row>
    <row r="617" spans="1:6" x14ac:dyDescent="0.35">
      <c r="A617" s="10">
        <v>1185</v>
      </c>
      <c r="B617" s="7">
        <v>2</v>
      </c>
      <c r="C617" s="7" t="s">
        <v>142</v>
      </c>
      <c r="D617" s="7">
        <v>2</v>
      </c>
      <c r="E617" s="7" t="s">
        <v>192</v>
      </c>
      <c r="F617" s="9">
        <v>2.09</v>
      </c>
    </row>
    <row r="618" spans="1:6" x14ac:dyDescent="0.35">
      <c r="A618" s="10">
        <v>1185</v>
      </c>
      <c r="B618" s="7">
        <v>3</v>
      </c>
      <c r="C618" s="7" t="s">
        <v>121</v>
      </c>
      <c r="D618" s="7">
        <v>7</v>
      </c>
      <c r="E618" s="7" t="s">
        <v>197</v>
      </c>
      <c r="F618" s="9">
        <v>3.76</v>
      </c>
    </row>
    <row r="619" spans="1:6" x14ac:dyDescent="0.35">
      <c r="A619" s="10">
        <v>1185</v>
      </c>
      <c r="B619" s="7">
        <v>4</v>
      </c>
      <c r="C619" s="7" t="s">
        <v>127</v>
      </c>
      <c r="D619" s="7">
        <v>1</v>
      </c>
      <c r="E619" s="7" t="s">
        <v>177</v>
      </c>
      <c r="F619" s="9">
        <v>5.0199999999999996</v>
      </c>
    </row>
    <row r="620" spans="1:6" x14ac:dyDescent="0.35">
      <c r="A620" s="10">
        <v>1185</v>
      </c>
      <c r="B620" s="7">
        <v>5</v>
      </c>
      <c r="C620" s="7" t="s">
        <v>89</v>
      </c>
      <c r="D620" s="7">
        <v>7</v>
      </c>
      <c r="E620" s="7" t="s">
        <v>165</v>
      </c>
      <c r="F620" s="9">
        <v>1.67</v>
      </c>
    </row>
    <row r="621" spans="1:6" x14ac:dyDescent="0.35">
      <c r="A621" s="10">
        <v>1186</v>
      </c>
      <c r="B621" s="7">
        <v>1</v>
      </c>
      <c r="C621" s="7" t="s">
        <v>148</v>
      </c>
      <c r="D621" s="7">
        <v>2</v>
      </c>
      <c r="E621" s="7" t="s">
        <v>192</v>
      </c>
      <c r="F621" s="9">
        <v>2.09</v>
      </c>
    </row>
    <row r="622" spans="1:6" x14ac:dyDescent="0.35">
      <c r="A622" s="10">
        <v>1186</v>
      </c>
      <c r="B622" s="7">
        <v>2</v>
      </c>
      <c r="C622" s="7" t="s">
        <v>157</v>
      </c>
      <c r="D622" s="7">
        <v>7</v>
      </c>
      <c r="E622" s="7" t="s">
        <v>165</v>
      </c>
      <c r="F622" s="9">
        <v>1.67</v>
      </c>
    </row>
    <row r="623" spans="1:6" x14ac:dyDescent="0.35">
      <c r="A623" s="10">
        <v>1186</v>
      </c>
      <c r="B623" s="7">
        <v>3</v>
      </c>
      <c r="C623" s="7" t="s">
        <v>104</v>
      </c>
      <c r="D623" s="7">
        <v>2</v>
      </c>
      <c r="E623" s="7" t="s">
        <v>192</v>
      </c>
      <c r="F623" s="9">
        <v>2.09</v>
      </c>
    </row>
    <row r="624" spans="1:6" x14ac:dyDescent="0.35">
      <c r="A624" s="10">
        <v>1187</v>
      </c>
      <c r="B624" s="7">
        <v>1</v>
      </c>
      <c r="C624" s="7" t="s">
        <v>96</v>
      </c>
      <c r="D624" s="7">
        <v>4</v>
      </c>
      <c r="E624" s="7" t="s">
        <v>179</v>
      </c>
      <c r="F624" s="9">
        <v>5.86</v>
      </c>
    </row>
    <row r="625" spans="1:6" x14ac:dyDescent="0.35">
      <c r="A625" s="10">
        <v>1187</v>
      </c>
      <c r="B625" s="7">
        <v>2</v>
      </c>
      <c r="C625" s="7" t="s">
        <v>104</v>
      </c>
      <c r="D625" s="7">
        <v>3</v>
      </c>
      <c r="E625" s="7" t="s">
        <v>192</v>
      </c>
      <c r="F625" s="9">
        <v>2.09</v>
      </c>
    </row>
    <row r="626" spans="1:6" x14ac:dyDescent="0.35">
      <c r="A626" s="10">
        <v>1188</v>
      </c>
      <c r="B626" s="7">
        <v>1</v>
      </c>
      <c r="C626" s="7" t="s">
        <v>64</v>
      </c>
      <c r="D626" s="7">
        <v>3</v>
      </c>
      <c r="E626" s="7" t="s">
        <v>167</v>
      </c>
      <c r="F626" s="9">
        <v>8.3699999999999992</v>
      </c>
    </row>
    <row r="627" spans="1:6" x14ac:dyDescent="0.35">
      <c r="A627" s="10">
        <v>1188</v>
      </c>
      <c r="B627" s="7">
        <v>2</v>
      </c>
      <c r="C627" s="7" t="s">
        <v>152</v>
      </c>
      <c r="D627" s="7">
        <v>3</v>
      </c>
      <c r="E627" s="7" t="s">
        <v>177</v>
      </c>
      <c r="F627" s="9">
        <v>5.0199999999999996</v>
      </c>
    </row>
    <row r="628" spans="1:6" x14ac:dyDescent="0.35">
      <c r="A628" s="10">
        <v>1188</v>
      </c>
      <c r="B628" s="7">
        <v>3</v>
      </c>
      <c r="C628" s="7" t="s">
        <v>149</v>
      </c>
      <c r="D628" s="7">
        <v>5</v>
      </c>
      <c r="E628" s="7" t="s">
        <v>175</v>
      </c>
      <c r="F628" s="9">
        <v>4.18</v>
      </c>
    </row>
    <row r="629" spans="1:6" x14ac:dyDescent="0.35">
      <c r="A629" s="10">
        <v>1189</v>
      </c>
      <c r="B629" s="7">
        <v>1</v>
      </c>
      <c r="C629" s="7" t="s">
        <v>60</v>
      </c>
      <c r="D629" s="7">
        <v>3</v>
      </c>
      <c r="E629" s="7" t="s">
        <v>165</v>
      </c>
      <c r="F629" s="9">
        <v>1.67</v>
      </c>
    </row>
    <row r="630" spans="1:6" x14ac:dyDescent="0.35">
      <c r="A630" s="10">
        <v>1189</v>
      </c>
      <c r="B630" s="7">
        <v>2</v>
      </c>
      <c r="C630" s="7" t="s">
        <v>86</v>
      </c>
      <c r="D630" s="7">
        <v>4</v>
      </c>
      <c r="E630" s="7" t="s">
        <v>177</v>
      </c>
      <c r="F630" s="9">
        <v>5.0199999999999996</v>
      </c>
    </row>
    <row r="631" spans="1:6" x14ac:dyDescent="0.35">
      <c r="A631" s="10">
        <v>1189</v>
      </c>
      <c r="B631" s="7">
        <v>3</v>
      </c>
      <c r="C631" s="7" t="s">
        <v>65</v>
      </c>
      <c r="D631" s="7">
        <v>1</v>
      </c>
      <c r="E631" s="7" t="s">
        <v>175</v>
      </c>
      <c r="F631" s="9">
        <v>4.18</v>
      </c>
    </row>
    <row r="632" spans="1:6" x14ac:dyDescent="0.35">
      <c r="A632" s="10">
        <v>1189</v>
      </c>
      <c r="B632" s="7">
        <v>4</v>
      </c>
      <c r="C632" s="7" t="s">
        <v>68</v>
      </c>
      <c r="D632" s="7">
        <v>3</v>
      </c>
      <c r="E632" s="7" t="s">
        <v>170</v>
      </c>
      <c r="F632" s="9">
        <v>6.69</v>
      </c>
    </row>
    <row r="633" spans="1:6" x14ac:dyDescent="0.35">
      <c r="A633" s="10">
        <v>1190</v>
      </c>
      <c r="B633" s="7">
        <v>1</v>
      </c>
      <c r="C633" s="7" t="s">
        <v>128</v>
      </c>
      <c r="D633" s="7">
        <v>4</v>
      </c>
      <c r="E633" s="7" t="s">
        <v>177</v>
      </c>
      <c r="F633" s="9">
        <v>5.0199999999999996</v>
      </c>
    </row>
    <row r="634" spans="1:6" x14ac:dyDescent="0.35">
      <c r="A634" s="10">
        <v>1190</v>
      </c>
      <c r="B634" s="7">
        <v>2</v>
      </c>
      <c r="C634" s="7" t="s">
        <v>73</v>
      </c>
      <c r="D634" s="7">
        <v>7</v>
      </c>
      <c r="E634" s="7" t="s">
        <v>165</v>
      </c>
      <c r="F634" s="9">
        <v>1.67</v>
      </c>
    </row>
    <row r="635" spans="1:6" x14ac:dyDescent="0.35">
      <c r="A635" s="10">
        <v>1191</v>
      </c>
      <c r="B635" s="7">
        <v>1</v>
      </c>
      <c r="C635" s="7" t="s">
        <v>121</v>
      </c>
      <c r="D635" s="7">
        <v>7</v>
      </c>
      <c r="E635" s="7" t="s">
        <v>197</v>
      </c>
      <c r="F635" s="9">
        <v>3.76</v>
      </c>
    </row>
    <row r="636" spans="1:6" x14ac:dyDescent="0.35">
      <c r="A636" s="10">
        <v>1191</v>
      </c>
      <c r="B636" s="7">
        <v>2</v>
      </c>
      <c r="C636" s="7" t="s">
        <v>132</v>
      </c>
      <c r="D636" s="7">
        <v>1</v>
      </c>
      <c r="E636" s="7" t="s">
        <v>170</v>
      </c>
      <c r="F636" s="9">
        <v>6.69</v>
      </c>
    </row>
    <row r="637" spans="1:6" x14ac:dyDescent="0.35">
      <c r="A637" s="10">
        <v>1191</v>
      </c>
      <c r="B637" s="7">
        <v>3</v>
      </c>
      <c r="C637" s="7" t="s">
        <v>69</v>
      </c>
      <c r="D637" s="7">
        <v>3</v>
      </c>
      <c r="E637" s="7" t="s">
        <v>170</v>
      </c>
      <c r="F637" s="9">
        <v>6.69</v>
      </c>
    </row>
    <row r="638" spans="1:6" x14ac:dyDescent="0.35">
      <c r="A638" s="10">
        <v>1191</v>
      </c>
      <c r="B638" s="7">
        <v>4</v>
      </c>
      <c r="C638" s="7" t="s">
        <v>85</v>
      </c>
      <c r="D638" s="7">
        <v>1</v>
      </c>
      <c r="E638" s="7" t="s">
        <v>165</v>
      </c>
      <c r="F638" s="9">
        <v>1.67</v>
      </c>
    </row>
    <row r="639" spans="1:6" x14ac:dyDescent="0.35">
      <c r="A639" s="10">
        <v>1192</v>
      </c>
      <c r="B639" s="7">
        <v>1</v>
      </c>
      <c r="C639" s="7" t="s">
        <v>113</v>
      </c>
      <c r="D639" s="7">
        <v>6</v>
      </c>
      <c r="E639" s="7" t="s">
        <v>177</v>
      </c>
      <c r="F639" s="9">
        <v>5.0199999999999996</v>
      </c>
    </row>
    <row r="640" spans="1:6" x14ac:dyDescent="0.35">
      <c r="A640" s="10">
        <v>1192</v>
      </c>
      <c r="B640" s="7">
        <v>2</v>
      </c>
      <c r="C640" s="7" t="s">
        <v>157</v>
      </c>
      <c r="D640" s="7">
        <v>1</v>
      </c>
      <c r="E640" s="7" t="s">
        <v>165</v>
      </c>
      <c r="F640" s="9">
        <v>1.67</v>
      </c>
    </row>
    <row r="641" spans="1:6" x14ac:dyDescent="0.35">
      <c r="A641" s="10">
        <v>1192</v>
      </c>
      <c r="B641" s="7">
        <v>3</v>
      </c>
      <c r="C641" s="7" t="s">
        <v>146</v>
      </c>
      <c r="D641" s="7">
        <v>2</v>
      </c>
      <c r="E641" s="7" t="s">
        <v>175</v>
      </c>
      <c r="F641" s="9">
        <v>4.18</v>
      </c>
    </row>
    <row r="642" spans="1:6" x14ac:dyDescent="0.35">
      <c r="A642" s="10">
        <v>1192</v>
      </c>
      <c r="B642" s="7">
        <v>4</v>
      </c>
      <c r="C642" s="7" t="s">
        <v>125</v>
      </c>
      <c r="D642" s="7">
        <v>3</v>
      </c>
      <c r="E642" s="7" t="s">
        <v>170</v>
      </c>
      <c r="F642" s="9">
        <v>6.69</v>
      </c>
    </row>
    <row r="643" spans="1:6" x14ac:dyDescent="0.35">
      <c r="A643" s="10">
        <v>1192</v>
      </c>
      <c r="B643" s="7">
        <v>5</v>
      </c>
      <c r="C643" s="7" t="s">
        <v>107</v>
      </c>
      <c r="D643" s="7">
        <v>3</v>
      </c>
      <c r="E643" s="7" t="s">
        <v>165</v>
      </c>
      <c r="F643" s="9">
        <v>1.67</v>
      </c>
    </row>
    <row r="644" spans="1:6" x14ac:dyDescent="0.35">
      <c r="A644" s="10">
        <v>1193</v>
      </c>
      <c r="B644" s="7">
        <v>1</v>
      </c>
      <c r="C644" s="7" t="s">
        <v>101</v>
      </c>
      <c r="D644" s="7">
        <v>2</v>
      </c>
      <c r="E644" s="7" t="s">
        <v>179</v>
      </c>
      <c r="F644" s="9">
        <v>5.86</v>
      </c>
    </row>
    <row r="645" spans="1:6" x14ac:dyDescent="0.35">
      <c r="A645" s="10">
        <v>1193</v>
      </c>
      <c r="B645" s="7">
        <v>2</v>
      </c>
      <c r="C645" s="7" t="s">
        <v>154</v>
      </c>
      <c r="D645" s="7">
        <v>4</v>
      </c>
      <c r="E645" s="7" t="s">
        <v>167</v>
      </c>
      <c r="F645" s="9">
        <v>8.3699999999999992</v>
      </c>
    </row>
    <row r="646" spans="1:6" x14ac:dyDescent="0.35">
      <c r="A646" s="10">
        <v>1193</v>
      </c>
      <c r="B646" s="7">
        <v>3</v>
      </c>
      <c r="C646" s="7" t="s">
        <v>139</v>
      </c>
      <c r="D646" s="7">
        <v>1</v>
      </c>
      <c r="E646" s="7" t="s">
        <v>177</v>
      </c>
      <c r="F646" s="9">
        <v>5.0199999999999996</v>
      </c>
    </row>
    <row r="647" spans="1:6" x14ac:dyDescent="0.35">
      <c r="A647" s="10">
        <v>1193</v>
      </c>
      <c r="B647" s="7">
        <v>4</v>
      </c>
      <c r="C647" s="7" t="s">
        <v>85</v>
      </c>
      <c r="D647" s="7">
        <v>3</v>
      </c>
      <c r="E647" s="7" t="s">
        <v>165</v>
      </c>
      <c r="F647" s="9">
        <v>1.67</v>
      </c>
    </row>
    <row r="648" spans="1:6" x14ac:dyDescent="0.35">
      <c r="A648" s="10">
        <v>1194</v>
      </c>
      <c r="B648" s="7">
        <v>1</v>
      </c>
      <c r="C648" s="7" t="s">
        <v>106</v>
      </c>
      <c r="D648" s="7">
        <v>2</v>
      </c>
      <c r="E648" s="7" t="s">
        <v>167</v>
      </c>
      <c r="F648" s="9">
        <v>8.3699999999999992</v>
      </c>
    </row>
    <row r="649" spans="1:6" x14ac:dyDescent="0.35">
      <c r="A649" s="10">
        <v>1194</v>
      </c>
      <c r="B649" s="7">
        <v>2</v>
      </c>
      <c r="C649" s="7" t="s">
        <v>116</v>
      </c>
      <c r="D649" s="7">
        <v>1</v>
      </c>
      <c r="E649" s="7" t="s">
        <v>165</v>
      </c>
      <c r="F649" s="9">
        <v>1.67</v>
      </c>
    </row>
    <row r="650" spans="1:6" x14ac:dyDescent="0.35">
      <c r="A650" s="10">
        <v>1194</v>
      </c>
      <c r="B650" s="7">
        <v>3</v>
      </c>
      <c r="C650" s="7" t="s">
        <v>107</v>
      </c>
      <c r="D650" s="7">
        <v>4</v>
      </c>
      <c r="E650" s="7" t="s">
        <v>165</v>
      </c>
      <c r="F650" s="9">
        <v>1.67</v>
      </c>
    </row>
    <row r="651" spans="1:6" x14ac:dyDescent="0.35">
      <c r="A651" s="10">
        <v>1194</v>
      </c>
      <c r="B651" s="7">
        <v>4</v>
      </c>
      <c r="C651" s="7" t="s">
        <v>92</v>
      </c>
      <c r="D651" s="7">
        <v>3</v>
      </c>
      <c r="E651" s="7" t="s">
        <v>179</v>
      </c>
      <c r="F651" s="9">
        <v>5.86</v>
      </c>
    </row>
    <row r="652" spans="1:6" x14ac:dyDescent="0.35">
      <c r="A652" s="10">
        <v>1195</v>
      </c>
      <c r="B652" s="7">
        <v>1</v>
      </c>
      <c r="C652" s="7" t="s">
        <v>156</v>
      </c>
      <c r="D652" s="7">
        <v>2</v>
      </c>
      <c r="E652" s="7" t="s">
        <v>165</v>
      </c>
      <c r="F652" s="9">
        <v>1.67</v>
      </c>
    </row>
    <row r="653" spans="1:6" x14ac:dyDescent="0.35">
      <c r="A653" s="10">
        <v>1195</v>
      </c>
      <c r="B653" s="7">
        <v>2</v>
      </c>
      <c r="C653" s="7" t="s">
        <v>63</v>
      </c>
      <c r="D653" s="7">
        <v>3</v>
      </c>
      <c r="E653" s="7" t="s">
        <v>165</v>
      </c>
      <c r="F653" s="9">
        <v>1.67</v>
      </c>
    </row>
    <row r="654" spans="1:6" x14ac:dyDescent="0.35">
      <c r="A654" s="10">
        <v>1196</v>
      </c>
      <c r="B654" s="7">
        <v>1</v>
      </c>
      <c r="C654" s="7" t="s">
        <v>78</v>
      </c>
      <c r="D654" s="7">
        <v>2</v>
      </c>
      <c r="E654" s="7" t="s">
        <v>179</v>
      </c>
      <c r="F654" s="9">
        <v>5.86</v>
      </c>
    </row>
    <row r="655" spans="1:6" x14ac:dyDescent="0.35">
      <c r="A655" s="10">
        <v>1196</v>
      </c>
      <c r="B655" s="7">
        <v>2</v>
      </c>
      <c r="C655" s="7" t="s">
        <v>152</v>
      </c>
      <c r="D655" s="7">
        <v>6</v>
      </c>
      <c r="E655" s="7" t="s">
        <v>177</v>
      </c>
      <c r="F655" s="9">
        <v>5.0199999999999996</v>
      </c>
    </row>
    <row r="656" spans="1:6" x14ac:dyDescent="0.35">
      <c r="A656" s="10">
        <v>1197</v>
      </c>
      <c r="B656" s="7">
        <v>1</v>
      </c>
      <c r="C656" s="7" t="s">
        <v>95</v>
      </c>
      <c r="D656" s="7">
        <v>4</v>
      </c>
      <c r="E656" s="7" t="s">
        <v>197</v>
      </c>
      <c r="F656" s="9">
        <v>3.76</v>
      </c>
    </row>
    <row r="657" spans="1:6" x14ac:dyDescent="0.35">
      <c r="A657" s="10">
        <v>1197</v>
      </c>
      <c r="B657" s="7">
        <v>2</v>
      </c>
      <c r="C657" s="7" t="s">
        <v>115</v>
      </c>
      <c r="D657" s="7">
        <v>4</v>
      </c>
      <c r="E657" s="7" t="s">
        <v>192</v>
      </c>
      <c r="F657" s="9">
        <v>2.09</v>
      </c>
    </row>
    <row r="658" spans="1:6" x14ac:dyDescent="0.35">
      <c r="A658" s="10">
        <v>1197</v>
      </c>
      <c r="B658" s="7">
        <v>3</v>
      </c>
      <c r="C658" s="7" t="s">
        <v>149</v>
      </c>
      <c r="D658" s="7">
        <v>2</v>
      </c>
      <c r="E658" s="7" t="s">
        <v>175</v>
      </c>
      <c r="F658" s="9">
        <v>4.18</v>
      </c>
    </row>
    <row r="659" spans="1:6" x14ac:dyDescent="0.35">
      <c r="A659" s="10">
        <v>1198</v>
      </c>
      <c r="B659" s="7">
        <v>1</v>
      </c>
      <c r="C659" s="7" t="s">
        <v>145</v>
      </c>
      <c r="D659" s="7">
        <v>7</v>
      </c>
      <c r="E659" s="7" t="s">
        <v>179</v>
      </c>
      <c r="F659" s="9">
        <v>5.86</v>
      </c>
    </row>
    <row r="660" spans="1:6" x14ac:dyDescent="0.35">
      <c r="A660" s="10">
        <v>1198</v>
      </c>
      <c r="B660" s="7">
        <v>2</v>
      </c>
      <c r="C660" s="7" t="s">
        <v>63</v>
      </c>
      <c r="D660" s="7">
        <v>1</v>
      </c>
      <c r="E660" s="7" t="s">
        <v>165</v>
      </c>
      <c r="F660" s="9">
        <v>1.67</v>
      </c>
    </row>
    <row r="661" spans="1:6" x14ac:dyDescent="0.35">
      <c r="A661" s="10">
        <v>1198</v>
      </c>
      <c r="B661" s="7">
        <v>3</v>
      </c>
      <c r="C661" s="7" t="s">
        <v>70</v>
      </c>
      <c r="D661" s="7">
        <v>6</v>
      </c>
      <c r="E661" s="7" t="s">
        <v>179</v>
      </c>
      <c r="F661" s="9">
        <v>5.86</v>
      </c>
    </row>
    <row r="662" spans="1:6" x14ac:dyDescent="0.35">
      <c r="A662" s="10">
        <v>1198</v>
      </c>
      <c r="B662" s="7">
        <v>4</v>
      </c>
      <c r="C662" s="7" t="s">
        <v>154</v>
      </c>
      <c r="D662" s="7">
        <v>5</v>
      </c>
      <c r="E662" s="7" t="s">
        <v>167</v>
      </c>
      <c r="F662" s="9">
        <v>8.3699999999999992</v>
      </c>
    </row>
    <row r="663" spans="1:6" x14ac:dyDescent="0.35">
      <c r="A663" s="10">
        <v>1199</v>
      </c>
      <c r="B663" s="7">
        <v>1</v>
      </c>
      <c r="C663" s="7" t="s">
        <v>84</v>
      </c>
      <c r="D663" s="7">
        <v>6</v>
      </c>
      <c r="E663" s="7" t="s">
        <v>192</v>
      </c>
      <c r="F663" s="9">
        <v>2.09</v>
      </c>
    </row>
    <row r="664" spans="1:6" x14ac:dyDescent="0.35">
      <c r="A664" s="10">
        <v>1199</v>
      </c>
      <c r="B664" s="7">
        <v>2</v>
      </c>
      <c r="C664" s="7" t="s">
        <v>95</v>
      </c>
      <c r="D664" s="7">
        <v>4</v>
      </c>
      <c r="E664" s="7" t="s">
        <v>197</v>
      </c>
      <c r="F664" s="9">
        <v>3.76</v>
      </c>
    </row>
    <row r="665" spans="1:6" x14ac:dyDescent="0.35">
      <c r="A665" s="10">
        <v>1199</v>
      </c>
      <c r="B665" s="7">
        <v>3</v>
      </c>
      <c r="C665" s="7" t="s">
        <v>89</v>
      </c>
      <c r="D665" s="7">
        <v>6</v>
      </c>
      <c r="E665" s="7" t="s">
        <v>165</v>
      </c>
      <c r="F665" s="9">
        <v>1.67</v>
      </c>
    </row>
    <row r="666" spans="1:6" x14ac:dyDescent="0.35">
      <c r="A666" s="10">
        <v>1199</v>
      </c>
      <c r="B666" s="7">
        <v>4</v>
      </c>
      <c r="C666" s="7" t="s">
        <v>93</v>
      </c>
      <c r="D666" s="7">
        <v>2</v>
      </c>
      <c r="E666" s="7" t="s">
        <v>175</v>
      </c>
      <c r="F666" s="9">
        <v>4.18</v>
      </c>
    </row>
    <row r="667" spans="1:6" x14ac:dyDescent="0.35">
      <c r="A667" s="10">
        <v>1199</v>
      </c>
      <c r="B667" s="7">
        <v>5</v>
      </c>
      <c r="C667" s="7" t="s">
        <v>63</v>
      </c>
      <c r="D667" s="7">
        <v>4</v>
      </c>
      <c r="E667" s="7" t="s">
        <v>165</v>
      </c>
      <c r="F667" s="9">
        <v>1.67</v>
      </c>
    </row>
    <row r="668" spans="1:6" x14ac:dyDescent="0.35">
      <c r="A668" s="10">
        <v>1200</v>
      </c>
      <c r="B668" s="7">
        <v>1</v>
      </c>
      <c r="C668" s="7" t="s">
        <v>112</v>
      </c>
      <c r="D668" s="7">
        <v>5</v>
      </c>
      <c r="E668" s="7" t="s">
        <v>179</v>
      </c>
      <c r="F668" s="9">
        <v>5.86</v>
      </c>
    </row>
    <row r="669" spans="1:6" x14ac:dyDescent="0.35">
      <c r="A669" s="10">
        <v>1200</v>
      </c>
      <c r="B669" s="7">
        <v>2</v>
      </c>
      <c r="C669" s="7" t="s">
        <v>147</v>
      </c>
      <c r="D669" s="7">
        <v>1</v>
      </c>
      <c r="E669" s="7" t="s">
        <v>179</v>
      </c>
      <c r="F669" s="9">
        <v>5.86</v>
      </c>
    </row>
    <row r="670" spans="1:6" x14ac:dyDescent="0.35">
      <c r="A670" s="10">
        <v>1200</v>
      </c>
      <c r="B670" s="7">
        <v>3</v>
      </c>
      <c r="C670" s="7" t="s">
        <v>75</v>
      </c>
      <c r="D670" s="7">
        <v>5</v>
      </c>
      <c r="E670" s="7" t="s">
        <v>165</v>
      </c>
      <c r="F670" s="9">
        <v>1.67</v>
      </c>
    </row>
    <row r="671" spans="1:6" x14ac:dyDescent="0.35">
      <c r="A671" s="10">
        <v>1200</v>
      </c>
      <c r="B671" s="7">
        <v>4</v>
      </c>
      <c r="C671" s="7" t="s">
        <v>118</v>
      </c>
      <c r="D671" s="7">
        <v>5</v>
      </c>
      <c r="E671" s="7" t="s">
        <v>165</v>
      </c>
      <c r="F671" s="9">
        <v>1.67</v>
      </c>
    </row>
    <row r="672" spans="1:6" x14ac:dyDescent="0.35">
      <c r="A672" s="10">
        <v>1200</v>
      </c>
      <c r="B672" s="7">
        <v>5</v>
      </c>
      <c r="C672" s="7" t="s">
        <v>117</v>
      </c>
      <c r="D672" s="7">
        <v>3</v>
      </c>
      <c r="E672" s="7" t="s">
        <v>165</v>
      </c>
      <c r="F672" s="9">
        <v>1.67</v>
      </c>
    </row>
    <row r="673" spans="1:6" x14ac:dyDescent="0.35">
      <c r="A673" s="10">
        <v>1201</v>
      </c>
      <c r="B673" s="7">
        <v>1</v>
      </c>
      <c r="C673" s="7" t="s">
        <v>136</v>
      </c>
      <c r="D673" s="7">
        <v>7</v>
      </c>
      <c r="E673" s="7" t="s">
        <v>177</v>
      </c>
      <c r="F673" s="9">
        <v>5.0199999999999996</v>
      </c>
    </row>
    <row r="674" spans="1:6" x14ac:dyDescent="0.35">
      <c r="A674" s="10">
        <v>1201</v>
      </c>
      <c r="B674" s="7">
        <v>2</v>
      </c>
      <c r="C674" s="7" t="s">
        <v>126</v>
      </c>
      <c r="D674" s="7">
        <v>5</v>
      </c>
      <c r="E674" s="7" t="s">
        <v>192</v>
      </c>
      <c r="F674" s="9">
        <v>2.09</v>
      </c>
    </row>
    <row r="675" spans="1:6" x14ac:dyDescent="0.35">
      <c r="A675" s="10">
        <v>1201</v>
      </c>
      <c r="B675" s="7">
        <v>3</v>
      </c>
      <c r="C675" s="7" t="s">
        <v>107</v>
      </c>
      <c r="D675" s="7">
        <v>2</v>
      </c>
      <c r="E675" s="7" t="s">
        <v>165</v>
      </c>
      <c r="F675" s="9">
        <v>1.67</v>
      </c>
    </row>
    <row r="676" spans="1:6" x14ac:dyDescent="0.35">
      <c r="A676" s="10">
        <v>1201</v>
      </c>
      <c r="B676" s="7">
        <v>4</v>
      </c>
      <c r="C676" s="7" t="s">
        <v>128</v>
      </c>
      <c r="D676" s="7">
        <v>3</v>
      </c>
      <c r="E676" s="7" t="s">
        <v>177</v>
      </c>
      <c r="F676" s="9">
        <v>5.0199999999999996</v>
      </c>
    </row>
    <row r="677" spans="1:6" x14ac:dyDescent="0.35">
      <c r="A677" s="10">
        <v>1202</v>
      </c>
      <c r="B677" s="7">
        <v>1</v>
      </c>
      <c r="C677" s="7" t="s">
        <v>119</v>
      </c>
      <c r="D677" s="7">
        <v>5</v>
      </c>
      <c r="E677" s="7" t="s">
        <v>165</v>
      </c>
      <c r="F677" s="9">
        <v>1.67</v>
      </c>
    </row>
    <row r="678" spans="1:6" x14ac:dyDescent="0.35">
      <c r="A678" s="10">
        <v>1202</v>
      </c>
      <c r="B678" s="7">
        <v>2</v>
      </c>
      <c r="C678" s="7" t="s">
        <v>137</v>
      </c>
      <c r="D678" s="7">
        <v>7</v>
      </c>
      <c r="E678" s="7" t="s">
        <v>165</v>
      </c>
      <c r="F678" s="9">
        <v>1.67</v>
      </c>
    </row>
    <row r="679" spans="1:6" x14ac:dyDescent="0.35">
      <c r="A679" s="10">
        <v>1203</v>
      </c>
      <c r="B679" s="7">
        <v>1</v>
      </c>
      <c r="C679" s="7" t="s">
        <v>155</v>
      </c>
      <c r="D679" s="7">
        <v>5</v>
      </c>
      <c r="E679" s="7" t="s">
        <v>167</v>
      </c>
      <c r="F679" s="9">
        <v>8.3699999999999992</v>
      </c>
    </row>
    <row r="680" spans="1:6" x14ac:dyDescent="0.35">
      <c r="A680" s="10">
        <v>1203</v>
      </c>
      <c r="B680" s="7">
        <v>2</v>
      </c>
      <c r="C680" s="7" t="s">
        <v>74</v>
      </c>
      <c r="D680" s="7">
        <v>7</v>
      </c>
      <c r="E680" s="7" t="s">
        <v>165</v>
      </c>
      <c r="F680" s="9">
        <v>1.67</v>
      </c>
    </row>
    <row r="681" spans="1:6" x14ac:dyDescent="0.35">
      <c r="A681" s="10">
        <v>1203</v>
      </c>
      <c r="B681" s="7">
        <v>3</v>
      </c>
      <c r="C681" s="7" t="s">
        <v>95</v>
      </c>
      <c r="D681" s="7">
        <v>5</v>
      </c>
      <c r="E681" s="7" t="s">
        <v>197</v>
      </c>
      <c r="F681" s="9">
        <v>3.76</v>
      </c>
    </row>
    <row r="682" spans="1:6" x14ac:dyDescent="0.35">
      <c r="A682" s="10">
        <v>1203</v>
      </c>
      <c r="B682" s="7">
        <v>4</v>
      </c>
      <c r="C682" s="7" t="s">
        <v>99</v>
      </c>
      <c r="D682" s="7">
        <v>1</v>
      </c>
      <c r="E682" s="7" t="s">
        <v>165</v>
      </c>
      <c r="F682" s="9">
        <v>1.67</v>
      </c>
    </row>
    <row r="683" spans="1:6" x14ac:dyDescent="0.35">
      <c r="A683" s="10">
        <v>1204</v>
      </c>
      <c r="B683" s="7">
        <v>1</v>
      </c>
      <c r="C683" s="7" t="s">
        <v>142</v>
      </c>
      <c r="D683" s="7">
        <v>2</v>
      </c>
      <c r="E683" s="7" t="s">
        <v>192</v>
      </c>
      <c r="F683" s="9">
        <v>2.09</v>
      </c>
    </row>
    <row r="684" spans="1:6" x14ac:dyDescent="0.35">
      <c r="A684" s="10">
        <v>1204</v>
      </c>
      <c r="B684" s="7">
        <v>2</v>
      </c>
      <c r="C684" s="7" t="s">
        <v>109</v>
      </c>
      <c r="D684" s="7">
        <v>1</v>
      </c>
      <c r="E684" s="7" t="s">
        <v>179</v>
      </c>
      <c r="F684" s="9">
        <v>5.86</v>
      </c>
    </row>
    <row r="685" spans="1:6" x14ac:dyDescent="0.35">
      <c r="A685" s="10">
        <v>1204</v>
      </c>
      <c r="B685" s="7">
        <v>3</v>
      </c>
      <c r="C685" s="7" t="s">
        <v>65</v>
      </c>
      <c r="D685" s="7">
        <v>4</v>
      </c>
      <c r="E685" s="7" t="s">
        <v>175</v>
      </c>
      <c r="F685" s="9">
        <v>4.18</v>
      </c>
    </row>
    <row r="686" spans="1:6" x14ac:dyDescent="0.35">
      <c r="A686" s="10">
        <v>1205</v>
      </c>
      <c r="B686" s="7">
        <v>1</v>
      </c>
      <c r="C686" s="7" t="s">
        <v>51</v>
      </c>
      <c r="D686" s="7">
        <v>2</v>
      </c>
      <c r="E686" s="7" t="s">
        <v>167</v>
      </c>
      <c r="F686" s="9">
        <v>8.3699999999999992</v>
      </c>
    </row>
    <row r="687" spans="1:6" x14ac:dyDescent="0.35">
      <c r="A687" s="10">
        <v>1205</v>
      </c>
      <c r="B687" s="7">
        <v>2</v>
      </c>
      <c r="C687" s="7" t="s">
        <v>139</v>
      </c>
      <c r="D687" s="7">
        <v>2</v>
      </c>
      <c r="E687" s="7" t="s">
        <v>177</v>
      </c>
      <c r="F687" s="9">
        <v>5.0199999999999996</v>
      </c>
    </row>
    <row r="688" spans="1:6" x14ac:dyDescent="0.35">
      <c r="A688" s="10">
        <v>1205</v>
      </c>
      <c r="B688" s="7">
        <v>3</v>
      </c>
      <c r="C688" s="7" t="s">
        <v>114</v>
      </c>
      <c r="D688" s="7">
        <v>7</v>
      </c>
      <c r="E688" s="7" t="s">
        <v>197</v>
      </c>
      <c r="F688" s="9">
        <v>3.76</v>
      </c>
    </row>
    <row r="689" spans="1:6" x14ac:dyDescent="0.35">
      <c r="A689" s="10">
        <v>1205</v>
      </c>
      <c r="B689" s="7">
        <v>4</v>
      </c>
      <c r="C689" s="7" t="s">
        <v>84</v>
      </c>
      <c r="D689" s="7">
        <v>4</v>
      </c>
      <c r="E689" s="7" t="s">
        <v>192</v>
      </c>
      <c r="F689" s="9">
        <v>2.09</v>
      </c>
    </row>
    <row r="690" spans="1:6" x14ac:dyDescent="0.35">
      <c r="A690" s="10">
        <v>1206</v>
      </c>
      <c r="B690" s="7">
        <v>1</v>
      </c>
      <c r="C690" s="7" t="s">
        <v>100</v>
      </c>
      <c r="D690" s="7">
        <v>7</v>
      </c>
      <c r="E690" s="7" t="s">
        <v>170</v>
      </c>
      <c r="F690" s="9">
        <v>6.69</v>
      </c>
    </row>
    <row r="691" spans="1:6" x14ac:dyDescent="0.35">
      <c r="A691" s="10">
        <v>1206</v>
      </c>
      <c r="B691" s="7">
        <v>2</v>
      </c>
      <c r="C691" s="7" t="s">
        <v>92</v>
      </c>
      <c r="D691" s="7">
        <v>4</v>
      </c>
      <c r="E691" s="7" t="s">
        <v>179</v>
      </c>
      <c r="F691" s="9">
        <v>5.86</v>
      </c>
    </row>
    <row r="692" spans="1:6" x14ac:dyDescent="0.35">
      <c r="A692" s="10">
        <v>1207</v>
      </c>
      <c r="B692" s="7">
        <v>1</v>
      </c>
      <c r="C692" s="7" t="s">
        <v>100</v>
      </c>
      <c r="D692" s="7">
        <v>7</v>
      </c>
      <c r="E692" s="7" t="s">
        <v>170</v>
      </c>
      <c r="F692" s="9">
        <v>6.69</v>
      </c>
    </row>
    <row r="693" spans="1:6" x14ac:dyDescent="0.35">
      <c r="A693" s="10">
        <v>1207</v>
      </c>
      <c r="B693" s="7">
        <v>2</v>
      </c>
      <c r="C693" s="7" t="s">
        <v>89</v>
      </c>
      <c r="D693" s="7">
        <v>4</v>
      </c>
      <c r="E693" s="7" t="s">
        <v>165</v>
      </c>
      <c r="F693" s="9">
        <v>1.67</v>
      </c>
    </row>
    <row r="694" spans="1:6" x14ac:dyDescent="0.35">
      <c r="A694" s="10">
        <v>1207</v>
      </c>
      <c r="B694" s="7">
        <v>3</v>
      </c>
      <c r="C694" s="7" t="s">
        <v>83</v>
      </c>
      <c r="D694" s="7">
        <v>1</v>
      </c>
      <c r="E694" s="7" t="s">
        <v>197</v>
      </c>
      <c r="F694" s="9">
        <v>3.76</v>
      </c>
    </row>
    <row r="695" spans="1:6" x14ac:dyDescent="0.35">
      <c r="A695" s="10">
        <v>1207</v>
      </c>
      <c r="B695" s="7">
        <v>4</v>
      </c>
      <c r="C695" s="7" t="s">
        <v>105</v>
      </c>
      <c r="D695" s="7">
        <v>4</v>
      </c>
      <c r="E695" s="7" t="s">
        <v>165</v>
      </c>
      <c r="F695" s="9">
        <v>1.67</v>
      </c>
    </row>
    <row r="696" spans="1:6" x14ac:dyDescent="0.35">
      <c r="A696" s="10">
        <v>1208</v>
      </c>
      <c r="B696" s="7">
        <v>1</v>
      </c>
      <c r="C696" s="7" t="s">
        <v>102</v>
      </c>
      <c r="D696" s="7">
        <v>3</v>
      </c>
      <c r="E696" s="7" t="s">
        <v>192</v>
      </c>
      <c r="F696" s="9">
        <v>2.09</v>
      </c>
    </row>
    <row r="697" spans="1:6" x14ac:dyDescent="0.35">
      <c r="A697" s="10">
        <v>1208</v>
      </c>
      <c r="B697" s="7">
        <v>2</v>
      </c>
      <c r="C697" s="7" t="s">
        <v>87</v>
      </c>
      <c r="D697" s="7">
        <v>4</v>
      </c>
      <c r="E697" s="7" t="s">
        <v>165</v>
      </c>
      <c r="F697" s="9">
        <v>1.67</v>
      </c>
    </row>
    <row r="698" spans="1:6" x14ac:dyDescent="0.35">
      <c r="A698" s="10">
        <v>1209</v>
      </c>
      <c r="B698" s="7">
        <v>1</v>
      </c>
      <c r="C698" s="7" t="s">
        <v>83</v>
      </c>
      <c r="D698" s="7">
        <v>2</v>
      </c>
      <c r="E698" s="7" t="s">
        <v>197</v>
      </c>
      <c r="F698" s="9">
        <v>3.76</v>
      </c>
    </row>
    <row r="699" spans="1:6" x14ac:dyDescent="0.35">
      <c r="A699" s="10">
        <v>1209</v>
      </c>
      <c r="B699" s="7">
        <v>2</v>
      </c>
      <c r="C699" s="7" t="s">
        <v>122</v>
      </c>
      <c r="D699" s="7">
        <v>1</v>
      </c>
      <c r="E699" s="7" t="s">
        <v>167</v>
      </c>
      <c r="F699" s="9">
        <v>8.3699999999999992</v>
      </c>
    </row>
    <row r="700" spans="1:6" x14ac:dyDescent="0.35">
      <c r="A700" s="10">
        <v>1210</v>
      </c>
      <c r="B700" s="7">
        <v>1</v>
      </c>
      <c r="C700" s="7" t="s">
        <v>134</v>
      </c>
      <c r="D700" s="7">
        <v>5</v>
      </c>
      <c r="E700" s="7" t="s">
        <v>177</v>
      </c>
      <c r="F700" s="9">
        <v>5.0199999999999996</v>
      </c>
    </row>
    <row r="701" spans="1:6" x14ac:dyDescent="0.35">
      <c r="A701" s="10">
        <v>1210</v>
      </c>
      <c r="B701" s="7">
        <v>2</v>
      </c>
      <c r="C701" s="7" t="s">
        <v>114</v>
      </c>
      <c r="D701" s="7">
        <v>2</v>
      </c>
      <c r="E701" s="7" t="s">
        <v>197</v>
      </c>
      <c r="F701" s="9">
        <v>3.76</v>
      </c>
    </row>
    <row r="702" spans="1:6" x14ac:dyDescent="0.35">
      <c r="A702" s="10">
        <v>1210</v>
      </c>
      <c r="B702" s="7">
        <v>3</v>
      </c>
      <c r="C702" s="7" t="s">
        <v>102</v>
      </c>
      <c r="D702" s="7">
        <v>7</v>
      </c>
      <c r="E702" s="7" t="s">
        <v>192</v>
      </c>
      <c r="F702" s="9">
        <v>2.09</v>
      </c>
    </row>
    <row r="703" spans="1:6" x14ac:dyDescent="0.35">
      <c r="A703" s="10">
        <v>1211</v>
      </c>
      <c r="B703" s="7">
        <v>1</v>
      </c>
      <c r="C703" s="7" t="s">
        <v>94</v>
      </c>
      <c r="D703" s="7">
        <v>7</v>
      </c>
      <c r="E703" s="7" t="s">
        <v>170</v>
      </c>
      <c r="F703" s="9">
        <v>6.69</v>
      </c>
    </row>
    <row r="704" spans="1:6" x14ac:dyDescent="0.35">
      <c r="A704" s="10">
        <v>1211</v>
      </c>
      <c r="B704" s="7">
        <v>2</v>
      </c>
      <c r="C704" s="7" t="s">
        <v>143</v>
      </c>
      <c r="D704" s="7">
        <v>4</v>
      </c>
      <c r="E704" s="7" t="s">
        <v>167</v>
      </c>
      <c r="F704" s="9">
        <v>8.3699999999999992</v>
      </c>
    </row>
    <row r="705" spans="1:6" x14ac:dyDescent="0.35">
      <c r="A705" s="10">
        <v>1211</v>
      </c>
      <c r="B705" s="7">
        <v>3</v>
      </c>
      <c r="C705" s="7" t="s">
        <v>140</v>
      </c>
      <c r="D705" s="7">
        <v>4</v>
      </c>
      <c r="E705" s="7" t="s">
        <v>167</v>
      </c>
      <c r="F705" s="9">
        <v>8.3699999999999992</v>
      </c>
    </row>
    <row r="706" spans="1:6" x14ac:dyDescent="0.35">
      <c r="A706" s="10">
        <v>1212</v>
      </c>
      <c r="B706" s="7">
        <v>1</v>
      </c>
      <c r="C706" s="7" t="s">
        <v>132</v>
      </c>
      <c r="D706" s="7">
        <v>1</v>
      </c>
      <c r="E706" s="7" t="s">
        <v>170</v>
      </c>
      <c r="F706" s="9">
        <v>6.69</v>
      </c>
    </row>
    <row r="707" spans="1:6" x14ac:dyDescent="0.35">
      <c r="A707" s="10">
        <v>1212</v>
      </c>
      <c r="B707" s="7">
        <v>2</v>
      </c>
      <c r="C707" s="7" t="s">
        <v>138</v>
      </c>
      <c r="D707" s="7">
        <v>3</v>
      </c>
      <c r="E707" s="7" t="s">
        <v>175</v>
      </c>
      <c r="F707" s="9">
        <v>4.18</v>
      </c>
    </row>
    <row r="708" spans="1:6" x14ac:dyDescent="0.35">
      <c r="A708" s="10">
        <v>1212</v>
      </c>
      <c r="B708" s="7">
        <v>3</v>
      </c>
      <c r="C708" s="7" t="s">
        <v>154</v>
      </c>
      <c r="D708" s="7">
        <v>1</v>
      </c>
      <c r="E708" s="7" t="s">
        <v>167</v>
      </c>
      <c r="F708" s="9">
        <v>8.3699999999999992</v>
      </c>
    </row>
    <row r="709" spans="1:6" x14ac:dyDescent="0.35">
      <c r="A709" s="10">
        <v>1212</v>
      </c>
      <c r="B709" s="7">
        <v>4</v>
      </c>
      <c r="C709" s="7" t="s">
        <v>131</v>
      </c>
      <c r="D709" s="7">
        <v>7</v>
      </c>
      <c r="E709" s="7" t="s">
        <v>167</v>
      </c>
      <c r="F709" s="9">
        <v>8.3699999999999992</v>
      </c>
    </row>
    <row r="710" spans="1:6" x14ac:dyDescent="0.35">
      <c r="A710" s="10">
        <v>1213</v>
      </c>
      <c r="B710" s="7">
        <v>1</v>
      </c>
      <c r="C710" s="7" t="s">
        <v>68</v>
      </c>
      <c r="D710" s="7">
        <v>4</v>
      </c>
      <c r="E710" s="7" t="s">
        <v>170</v>
      </c>
      <c r="F710" s="9">
        <v>6.69</v>
      </c>
    </row>
    <row r="711" spans="1:6" x14ac:dyDescent="0.35">
      <c r="A711" s="10">
        <v>1213</v>
      </c>
      <c r="B711" s="7">
        <v>2</v>
      </c>
      <c r="C711" s="7" t="s">
        <v>139</v>
      </c>
      <c r="D711" s="7">
        <v>5</v>
      </c>
      <c r="E711" s="7" t="s">
        <v>177</v>
      </c>
      <c r="F711" s="9">
        <v>5.0199999999999996</v>
      </c>
    </row>
    <row r="712" spans="1:6" x14ac:dyDescent="0.35">
      <c r="A712" s="10">
        <v>1213</v>
      </c>
      <c r="B712" s="7">
        <v>3</v>
      </c>
      <c r="C712" s="7" t="s">
        <v>146</v>
      </c>
      <c r="D712" s="7">
        <v>3</v>
      </c>
      <c r="E712" s="7" t="s">
        <v>175</v>
      </c>
      <c r="F712" s="9">
        <v>4.18</v>
      </c>
    </row>
    <row r="713" spans="1:6" x14ac:dyDescent="0.35">
      <c r="A713" s="10">
        <v>1213</v>
      </c>
      <c r="B713" s="7">
        <v>4</v>
      </c>
      <c r="C713" s="7" t="s">
        <v>126</v>
      </c>
      <c r="D713" s="7">
        <v>1</v>
      </c>
      <c r="E713" s="7" t="s">
        <v>192</v>
      </c>
      <c r="F713" s="9">
        <v>2.09</v>
      </c>
    </row>
    <row r="714" spans="1:6" x14ac:dyDescent="0.35">
      <c r="A714" s="10">
        <v>1213</v>
      </c>
      <c r="B714" s="7">
        <v>5</v>
      </c>
      <c r="C714" s="7" t="s">
        <v>133</v>
      </c>
      <c r="D714" s="7">
        <v>4</v>
      </c>
      <c r="E714" s="7" t="s">
        <v>175</v>
      </c>
      <c r="F714" s="9">
        <v>4.18</v>
      </c>
    </row>
    <row r="715" spans="1:6" x14ac:dyDescent="0.35">
      <c r="A715" s="10">
        <v>1214</v>
      </c>
      <c r="B715" s="7">
        <v>1</v>
      </c>
      <c r="C715" s="7" t="s">
        <v>86</v>
      </c>
      <c r="D715" s="7">
        <v>6</v>
      </c>
      <c r="E715" s="7" t="s">
        <v>177</v>
      </c>
      <c r="F715" s="9">
        <v>5.0199999999999996</v>
      </c>
    </row>
    <row r="716" spans="1:6" x14ac:dyDescent="0.35">
      <c r="A716" s="10">
        <v>1214</v>
      </c>
      <c r="B716" s="7">
        <v>2</v>
      </c>
      <c r="C716" s="7" t="s">
        <v>90</v>
      </c>
      <c r="D716" s="7">
        <v>7</v>
      </c>
      <c r="E716" s="7" t="s">
        <v>165</v>
      </c>
      <c r="F716" s="9">
        <v>1.67</v>
      </c>
    </row>
    <row r="717" spans="1:6" x14ac:dyDescent="0.35">
      <c r="A717" s="10">
        <v>1215</v>
      </c>
      <c r="B717" s="7">
        <v>1</v>
      </c>
      <c r="C717" s="7" t="s">
        <v>141</v>
      </c>
      <c r="D717" s="7">
        <v>6</v>
      </c>
      <c r="E717" s="7" t="s">
        <v>170</v>
      </c>
      <c r="F717" s="9">
        <v>6.69</v>
      </c>
    </row>
    <row r="718" spans="1:6" x14ac:dyDescent="0.35">
      <c r="A718" s="10">
        <v>1215</v>
      </c>
      <c r="B718" s="7">
        <v>2</v>
      </c>
      <c r="C718" s="7" t="s">
        <v>74</v>
      </c>
      <c r="D718" s="7">
        <v>2</v>
      </c>
      <c r="E718" s="7" t="s">
        <v>165</v>
      </c>
      <c r="F718" s="9">
        <v>1.67</v>
      </c>
    </row>
    <row r="719" spans="1:6" x14ac:dyDescent="0.35">
      <c r="A719" s="10">
        <v>1215</v>
      </c>
      <c r="B719" s="7">
        <v>3</v>
      </c>
      <c r="C719" s="7" t="s">
        <v>110</v>
      </c>
      <c r="D719" s="7">
        <v>3</v>
      </c>
      <c r="E719" s="7" t="s">
        <v>197</v>
      </c>
      <c r="F719" s="9">
        <v>3.76</v>
      </c>
    </row>
    <row r="720" spans="1:6" x14ac:dyDescent="0.35">
      <c r="A720" s="10">
        <v>1216</v>
      </c>
      <c r="B720" s="7">
        <v>1</v>
      </c>
      <c r="C720" s="7" t="s">
        <v>110</v>
      </c>
      <c r="D720" s="7">
        <v>2</v>
      </c>
      <c r="E720" s="7" t="s">
        <v>197</v>
      </c>
      <c r="F720" s="9">
        <v>3.76</v>
      </c>
    </row>
    <row r="721" spans="1:6" x14ac:dyDescent="0.35">
      <c r="A721" s="10">
        <v>1216</v>
      </c>
      <c r="B721" s="7">
        <v>2</v>
      </c>
      <c r="C721" s="7" t="s">
        <v>124</v>
      </c>
      <c r="D721" s="7">
        <v>5</v>
      </c>
      <c r="E721" s="7" t="s">
        <v>167</v>
      </c>
      <c r="F721" s="9">
        <v>8.3699999999999992</v>
      </c>
    </row>
    <row r="722" spans="1:6" x14ac:dyDescent="0.35">
      <c r="A722" s="10">
        <v>1216</v>
      </c>
      <c r="B722" s="7">
        <v>3</v>
      </c>
      <c r="C722" s="7" t="s">
        <v>132</v>
      </c>
      <c r="D722" s="7">
        <v>1</v>
      </c>
      <c r="E722" s="7" t="s">
        <v>170</v>
      </c>
      <c r="F722" s="9">
        <v>6.69</v>
      </c>
    </row>
    <row r="723" spans="1:6" x14ac:dyDescent="0.35">
      <c r="A723" s="10">
        <v>1216</v>
      </c>
      <c r="B723" s="7">
        <v>4</v>
      </c>
      <c r="C723" s="7" t="s">
        <v>85</v>
      </c>
      <c r="D723" s="7">
        <v>4</v>
      </c>
      <c r="E723" s="7" t="s">
        <v>165</v>
      </c>
      <c r="F723" s="9">
        <v>1.67</v>
      </c>
    </row>
    <row r="724" spans="1:6" x14ac:dyDescent="0.35">
      <c r="A724" s="10">
        <v>1217</v>
      </c>
      <c r="B724" s="7">
        <v>1</v>
      </c>
      <c r="C724" s="7" t="s">
        <v>68</v>
      </c>
      <c r="D724" s="7">
        <v>5</v>
      </c>
      <c r="E724" s="7" t="s">
        <v>170</v>
      </c>
      <c r="F724" s="9">
        <v>6.69</v>
      </c>
    </row>
    <row r="725" spans="1:6" x14ac:dyDescent="0.35">
      <c r="A725" s="10">
        <v>1217</v>
      </c>
      <c r="B725" s="7">
        <v>2</v>
      </c>
      <c r="C725" s="7" t="s">
        <v>149</v>
      </c>
      <c r="D725" s="7">
        <v>5</v>
      </c>
      <c r="E725" s="7" t="s">
        <v>175</v>
      </c>
      <c r="F725" s="9">
        <v>4.18</v>
      </c>
    </row>
    <row r="726" spans="1:6" x14ac:dyDescent="0.35">
      <c r="A726" s="10">
        <v>1217</v>
      </c>
      <c r="B726" s="7">
        <v>3</v>
      </c>
      <c r="C726" s="7" t="s">
        <v>126</v>
      </c>
      <c r="D726" s="7">
        <v>7</v>
      </c>
      <c r="E726" s="7" t="s">
        <v>192</v>
      </c>
      <c r="F726" s="9">
        <v>2.09</v>
      </c>
    </row>
    <row r="727" spans="1:6" x14ac:dyDescent="0.35">
      <c r="A727" s="10">
        <v>1218</v>
      </c>
      <c r="B727" s="7">
        <v>1</v>
      </c>
      <c r="C727" s="7" t="s">
        <v>84</v>
      </c>
      <c r="D727" s="7">
        <v>5</v>
      </c>
      <c r="E727" s="7" t="s">
        <v>192</v>
      </c>
      <c r="F727" s="9">
        <v>2.09</v>
      </c>
    </row>
    <row r="728" spans="1:6" x14ac:dyDescent="0.35">
      <c r="A728" s="10">
        <v>1218</v>
      </c>
      <c r="B728" s="7">
        <v>2</v>
      </c>
      <c r="C728" s="7" t="s">
        <v>105</v>
      </c>
      <c r="D728" s="7">
        <v>5</v>
      </c>
      <c r="E728" s="7" t="s">
        <v>165</v>
      </c>
      <c r="F728" s="9">
        <v>1.67</v>
      </c>
    </row>
    <row r="729" spans="1:6" x14ac:dyDescent="0.35">
      <c r="A729" s="10">
        <v>1218</v>
      </c>
      <c r="B729" s="7">
        <v>3</v>
      </c>
      <c r="C729" s="7" t="s">
        <v>117</v>
      </c>
      <c r="D729" s="7">
        <v>2</v>
      </c>
      <c r="E729" s="7" t="s">
        <v>165</v>
      </c>
      <c r="F729" s="9">
        <v>1.67</v>
      </c>
    </row>
    <row r="730" spans="1:6" x14ac:dyDescent="0.35">
      <c r="A730" s="10">
        <v>1219</v>
      </c>
      <c r="B730" s="7">
        <v>1</v>
      </c>
      <c r="C730" s="7" t="s">
        <v>104</v>
      </c>
      <c r="D730" s="7">
        <v>7</v>
      </c>
      <c r="E730" s="7" t="s">
        <v>192</v>
      </c>
      <c r="F730" s="9">
        <v>2.09</v>
      </c>
    </row>
    <row r="731" spans="1:6" x14ac:dyDescent="0.35">
      <c r="A731" s="10">
        <v>1219</v>
      </c>
      <c r="B731" s="7">
        <v>2</v>
      </c>
      <c r="C731" s="7" t="s">
        <v>149</v>
      </c>
      <c r="D731" s="7">
        <v>6</v>
      </c>
      <c r="E731" s="7" t="s">
        <v>175</v>
      </c>
      <c r="F731" s="9">
        <v>4.18</v>
      </c>
    </row>
    <row r="732" spans="1:6" x14ac:dyDescent="0.35">
      <c r="A732" s="10">
        <v>1219</v>
      </c>
      <c r="B732" s="7">
        <v>3</v>
      </c>
      <c r="C732" s="7" t="s">
        <v>133</v>
      </c>
      <c r="D732" s="7">
        <v>5</v>
      </c>
      <c r="E732" s="7" t="s">
        <v>175</v>
      </c>
      <c r="F732" s="9">
        <v>4.18</v>
      </c>
    </row>
    <row r="733" spans="1:6" x14ac:dyDescent="0.35">
      <c r="A733" s="10">
        <v>1219</v>
      </c>
      <c r="B733" s="7">
        <v>4</v>
      </c>
      <c r="C733" s="7" t="s">
        <v>63</v>
      </c>
      <c r="D733" s="7">
        <v>6</v>
      </c>
      <c r="E733" s="7" t="s">
        <v>165</v>
      </c>
      <c r="F733" s="9">
        <v>1.67</v>
      </c>
    </row>
    <row r="734" spans="1:6" x14ac:dyDescent="0.35">
      <c r="A734" s="10">
        <v>1220</v>
      </c>
      <c r="B734" s="7">
        <v>1</v>
      </c>
      <c r="C734" s="7" t="s">
        <v>73</v>
      </c>
      <c r="D734" s="7">
        <v>5</v>
      </c>
      <c r="E734" s="7" t="s">
        <v>165</v>
      </c>
      <c r="F734" s="9">
        <v>1.67</v>
      </c>
    </row>
    <row r="735" spans="1:6" x14ac:dyDescent="0.35">
      <c r="A735" s="10">
        <v>1220</v>
      </c>
      <c r="B735" s="7">
        <v>2</v>
      </c>
      <c r="C735" s="7" t="s">
        <v>123</v>
      </c>
      <c r="D735" s="7">
        <v>4</v>
      </c>
      <c r="E735" s="7" t="s">
        <v>179</v>
      </c>
      <c r="F735" s="9">
        <v>5.86</v>
      </c>
    </row>
    <row r="736" spans="1:6" x14ac:dyDescent="0.35">
      <c r="A736" s="10">
        <v>1221</v>
      </c>
      <c r="B736" s="7">
        <v>1</v>
      </c>
      <c r="C736" s="7" t="s">
        <v>118</v>
      </c>
      <c r="D736" s="7">
        <v>6</v>
      </c>
      <c r="E736" s="7" t="s">
        <v>165</v>
      </c>
      <c r="F736" s="9">
        <v>1.67</v>
      </c>
    </row>
    <row r="737" spans="1:6" x14ac:dyDescent="0.35">
      <c r="A737" s="10">
        <v>1221</v>
      </c>
      <c r="B737" s="7">
        <v>2</v>
      </c>
      <c r="C737" s="7" t="s">
        <v>122</v>
      </c>
      <c r="D737" s="7">
        <v>4</v>
      </c>
      <c r="E737" s="7" t="s">
        <v>167</v>
      </c>
      <c r="F737" s="9">
        <v>8.3699999999999992</v>
      </c>
    </row>
    <row r="738" spans="1:6" x14ac:dyDescent="0.35">
      <c r="A738" s="10">
        <v>1221</v>
      </c>
      <c r="B738" s="7">
        <v>3</v>
      </c>
      <c r="C738" s="7" t="s">
        <v>117</v>
      </c>
      <c r="D738" s="7">
        <v>7</v>
      </c>
      <c r="E738" s="7" t="s">
        <v>165</v>
      </c>
      <c r="F738" s="9">
        <v>1.67</v>
      </c>
    </row>
    <row r="739" spans="1:6" x14ac:dyDescent="0.35">
      <c r="A739" s="10">
        <v>1222</v>
      </c>
      <c r="B739" s="7">
        <v>1</v>
      </c>
      <c r="C739" s="7" t="s">
        <v>69</v>
      </c>
      <c r="D739" s="7">
        <v>6</v>
      </c>
      <c r="E739" s="7" t="s">
        <v>170</v>
      </c>
      <c r="F739" s="9">
        <v>6.69</v>
      </c>
    </row>
    <row r="740" spans="1:6" x14ac:dyDescent="0.35">
      <c r="A740" s="10">
        <v>1222</v>
      </c>
      <c r="B740" s="7">
        <v>2</v>
      </c>
      <c r="C740" s="7" t="s">
        <v>127</v>
      </c>
      <c r="D740" s="7">
        <v>1</v>
      </c>
      <c r="E740" s="7" t="s">
        <v>177</v>
      </c>
      <c r="F740" s="9">
        <v>5.0199999999999996</v>
      </c>
    </row>
    <row r="741" spans="1:6" x14ac:dyDescent="0.35">
      <c r="A741" s="10">
        <v>1222</v>
      </c>
      <c r="B741" s="7">
        <v>3</v>
      </c>
      <c r="C741" s="7" t="s">
        <v>134</v>
      </c>
      <c r="D741" s="7">
        <v>1</v>
      </c>
      <c r="E741" s="7" t="s">
        <v>177</v>
      </c>
      <c r="F741" s="9">
        <v>5.0199999999999996</v>
      </c>
    </row>
    <row r="742" spans="1:6" x14ac:dyDescent="0.35">
      <c r="A742" s="10">
        <v>1222</v>
      </c>
      <c r="B742" s="7">
        <v>4</v>
      </c>
      <c r="C742" s="7" t="s">
        <v>119</v>
      </c>
      <c r="D742" s="7">
        <v>1</v>
      </c>
      <c r="E742" s="7" t="s">
        <v>165</v>
      </c>
      <c r="F742" s="9">
        <v>1.67</v>
      </c>
    </row>
    <row r="743" spans="1:6" x14ac:dyDescent="0.35">
      <c r="A743" s="10">
        <v>1223</v>
      </c>
      <c r="B743" s="7">
        <v>1</v>
      </c>
      <c r="C743" s="7" t="s">
        <v>66</v>
      </c>
      <c r="D743" s="7">
        <v>4</v>
      </c>
      <c r="E743" s="7" t="s">
        <v>177</v>
      </c>
      <c r="F743" s="9">
        <v>5.0199999999999996</v>
      </c>
    </row>
    <row r="744" spans="1:6" x14ac:dyDescent="0.35">
      <c r="A744" s="10">
        <v>1223</v>
      </c>
      <c r="B744" s="7">
        <v>2</v>
      </c>
      <c r="C744" s="7" t="s">
        <v>132</v>
      </c>
      <c r="D744" s="7">
        <v>1</v>
      </c>
      <c r="E744" s="7" t="s">
        <v>170</v>
      </c>
      <c r="F744" s="9">
        <v>6.69</v>
      </c>
    </row>
    <row r="745" spans="1:6" x14ac:dyDescent="0.35">
      <c r="A745" s="10">
        <v>1223</v>
      </c>
      <c r="B745" s="7">
        <v>3</v>
      </c>
      <c r="C745" s="7" t="s">
        <v>60</v>
      </c>
      <c r="D745" s="7">
        <v>5</v>
      </c>
      <c r="E745" s="7" t="s">
        <v>165</v>
      </c>
      <c r="F745" s="9">
        <v>1.67</v>
      </c>
    </row>
    <row r="746" spans="1:6" x14ac:dyDescent="0.35">
      <c r="A746" s="10">
        <v>1223</v>
      </c>
      <c r="B746" s="7">
        <v>4</v>
      </c>
      <c r="C746" s="7" t="s">
        <v>108</v>
      </c>
      <c r="D746" s="7">
        <v>7</v>
      </c>
      <c r="E746" s="7" t="s">
        <v>177</v>
      </c>
      <c r="F746" s="9">
        <v>5.0199999999999996</v>
      </c>
    </row>
    <row r="747" spans="1:6" x14ac:dyDescent="0.35">
      <c r="A747" s="10">
        <v>1223</v>
      </c>
      <c r="B747" s="7">
        <v>5</v>
      </c>
      <c r="C747" s="7" t="s">
        <v>154</v>
      </c>
      <c r="D747" s="7">
        <v>5</v>
      </c>
      <c r="E747" s="7" t="s">
        <v>167</v>
      </c>
      <c r="F747" s="9">
        <v>8.3699999999999992</v>
      </c>
    </row>
    <row r="748" spans="1:6" x14ac:dyDescent="0.35">
      <c r="A748" s="10">
        <v>1224</v>
      </c>
      <c r="B748" s="7">
        <v>1</v>
      </c>
      <c r="C748" s="7" t="s">
        <v>104</v>
      </c>
      <c r="D748" s="7">
        <v>3</v>
      </c>
      <c r="E748" s="7" t="s">
        <v>192</v>
      </c>
      <c r="F748" s="9">
        <v>2.09</v>
      </c>
    </row>
    <row r="749" spans="1:6" x14ac:dyDescent="0.35">
      <c r="A749" s="10">
        <v>1224</v>
      </c>
      <c r="B749" s="7">
        <v>2</v>
      </c>
      <c r="C749" s="7" t="s">
        <v>48</v>
      </c>
      <c r="D749" s="7">
        <v>1</v>
      </c>
      <c r="E749" s="7" t="s">
        <v>165</v>
      </c>
      <c r="F749" s="9">
        <v>1.67</v>
      </c>
    </row>
    <row r="750" spans="1:6" x14ac:dyDescent="0.35">
      <c r="A750" s="10">
        <v>1224</v>
      </c>
      <c r="B750" s="7">
        <v>3</v>
      </c>
      <c r="C750" s="7" t="s">
        <v>155</v>
      </c>
      <c r="D750" s="7">
        <v>7</v>
      </c>
      <c r="E750" s="7" t="s">
        <v>167</v>
      </c>
      <c r="F750" s="9">
        <v>8.3699999999999992</v>
      </c>
    </row>
    <row r="751" spans="1:6" x14ac:dyDescent="0.35">
      <c r="A751" s="10">
        <v>1224</v>
      </c>
      <c r="B751" s="7">
        <v>4</v>
      </c>
      <c r="C751" s="7" t="s">
        <v>109</v>
      </c>
      <c r="D751" s="7">
        <v>6</v>
      </c>
      <c r="E751" s="7" t="s">
        <v>179</v>
      </c>
      <c r="F751" s="9">
        <v>5.86</v>
      </c>
    </row>
    <row r="752" spans="1:6" x14ac:dyDescent="0.35">
      <c r="A752" s="10">
        <v>1225</v>
      </c>
      <c r="B752" s="7">
        <v>1</v>
      </c>
      <c r="C752" s="7" t="s">
        <v>60</v>
      </c>
      <c r="D752" s="7">
        <v>1</v>
      </c>
      <c r="E752" s="7" t="s">
        <v>165</v>
      </c>
      <c r="F752" s="9">
        <v>1.67</v>
      </c>
    </row>
    <row r="753" spans="1:6" x14ac:dyDescent="0.35">
      <c r="A753" s="10">
        <v>1225</v>
      </c>
      <c r="B753" s="7">
        <v>2</v>
      </c>
      <c r="C753" s="7" t="s">
        <v>132</v>
      </c>
      <c r="D753" s="7">
        <v>2</v>
      </c>
      <c r="E753" s="7" t="s">
        <v>170</v>
      </c>
      <c r="F753" s="9">
        <v>6.69</v>
      </c>
    </row>
    <row r="754" spans="1:6" x14ac:dyDescent="0.35">
      <c r="A754" s="10">
        <v>1225</v>
      </c>
      <c r="B754" s="7">
        <v>3</v>
      </c>
      <c r="C754" s="7" t="s">
        <v>108</v>
      </c>
      <c r="D754" s="7">
        <v>3</v>
      </c>
      <c r="E754" s="7" t="s">
        <v>177</v>
      </c>
      <c r="F754" s="9">
        <v>5.0199999999999996</v>
      </c>
    </row>
    <row r="755" spans="1:6" x14ac:dyDescent="0.35">
      <c r="A755" s="10">
        <v>1225</v>
      </c>
      <c r="B755" s="7">
        <v>4</v>
      </c>
      <c r="C755" s="7" t="s">
        <v>64</v>
      </c>
      <c r="D755" s="7">
        <v>2</v>
      </c>
      <c r="E755" s="7" t="s">
        <v>167</v>
      </c>
      <c r="F755" s="9">
        <v>8.3699999999999992</v>
      </c>
    </row>
    <row r="756" spans="1:6" x14ac:dyDescent="0.35">
      <c r="A756" s="10">
        <v>1225</v>
      </c>
      <c r="B756" s="7">
        <v>5</v>
      </c>
      <c r="C756" s="7" t="s">
        <v>137</v>
      </c>
      <c r="D756" s="7">
        <v>5</v>
      </c>
      <c r="E756" s="7" t="s">
        <v>165</v>
      </c>
      <c r="F756" s="9">
        <v>1.67</v>
      </c>
    </row>
    <row r="757" spans="1:6" x14ac:dyDescent="0.35">
      <c r="A757" s="10">
        <v>1226</v>
      </c>
      <c r="B757" s="7">
        <v>1</v>
      </c>
      <c r="C757" s="7" t="s">
        <v>130</v>
      </c>
      <c r="D757" s="7">
        <v>4</v>
      </c>
      <c r="E757" s="7" t="s">
        <v>165</v>
      </c>
      <c r="F757" s="9">
        <v>1.67</v>
      </c>
    </row>
    <row r="758" spans="1:6" x14ac:dyDescent="0.35">
      <c r="A758" s="10">
        <v>1226</v>
      </c>
      <c r="B758" s="7">
        <v>2</v>
      </c>
      <c r="C758" s="7" t="s">
        <v>57</v>
      </c>
      <c r="D758" s="7">
        <v>4</v>
      </c>
      <c r="E758" s="7" t="s">
        <v>170</v>
      </c>
      <c r="F758" s="9">
        <v>6.69</v>
      </c>
    </row>
    <row r="759" spans="1:6" x14ac:dyDescent="0.35">
      <c r="A759" s="10">
        <v>1226</v>
      </c>
      <c r="B759" s="7">
        <v>3</v>
      </c>
      <c r="C759" s="7" t="s">
        <v>125</v>
      </c>
      <c r="D759" s="7">
        <v>3</v>
      </c>
      <c r="E759" s="7" t="s">
        <v>170</v>
      </c>
      <c r="F759" s="9">
        <v>6.69</v>
      </c>
    </row>
    <row r="760" spans="1:6" x14ac:dyDescent="0.35">
      <c r="A760" s="10">
        <v>1226</v>
      </c>
      <c r="B760" s="7">
        <v>4</v>
      </c>
      <c r="C760" s="7" t="s">
        <v>98</v>
      </c>
      <c r="D760" s="7">
        <v>3</v>
      </c>
      <c r="E760" s="7" t="s">
        <v>165</v>
      </c>
      <c r="F760" s="9">
        <v>1.67</v>
      </c>
    </row>
    <row r="761" spans="1:6" x14ac:dyDescent="0.35">
      <c r="A761" s="10">
        <v>1226</v>
      </c>
      <c r="B761" s="7">
        <v>5</v>
      </c>
      <c r="C761" s="7" t="s">
        <v>146</v>
      </c>
      <c r="D761" s="7">
        <v>2</v>
      </c>
      <c r="E761" s="7" t="s">
        <v>175</v>
      </c>
      <c r="F761" s="9">
        <v>4.18</v>
      </c>
    </row>
    <row r="762" spans="1:6" x14ac:dyDescent="0.35">
      <c r="A762" s="10">
        <v>1227</v>
      </c>
      <c r="B762" s="7">
        <v>1</v>
      </c>
      <c r="C762" s="7" t="s">
        <v>75</v>
      </c>
      <c r="D762" s="7">
        <v>4</v>
      </c>
      <c r="E762" s="7" t="s">
        <v>165</v>
      </c>
      <c r="F762" s="9">
        <v>1.67</v>
      </c>
    </row>
    <row r="763" spans="1:6" x14ac:dyDescent="0.35">
      <c r="A763" s="10">
        <v>1227</v>
      </c>
      <c r="B763" s="7">
        <v>2</v>
      </c>
      <c r="C763" s="7" t="s">
        <v>108</v>
      </c>
      <c r="D763" s="7">
        <v>2</v>
      </c>
      <c r="E763" s="7" t="s">
        <v>177</v>
      </c>
      <c r="F763" s="9">
        <v>5.0199999999999996</v>
      </c>
    </row>
    <row r="764" spans="1:6" x14ac:dyDescent="0.35">
      <c r="A764" s="10">
        <v>1227</v>
      </c>
      <c r="B764" s="7">
        <v>3</v>
      </c>
      <c r="C764" s="7" t="s">
        <v>98</v>
      </c>
      <c r="D764" s="7">
        <v>7</v>
      </c>
      <c r="E764" s="7" t="s">
        <v>165</v>
      </c>
      <c r="F764" s="9">
        <v>1.67</v>
      </c>
    </row>
    <row r="765" spans="1:6" x14ac:dyDescent="0.35">
      <c r="A765" s="10">
        <v>1227</v>
      </c>
      <c r="B765" s="7">
        <v>4</v>
      </c>
      <c r="C765" s="7" t="s">
        <v>137</v>
      </c>
      <c r="D765" s="7">
        <v>5</v>
      </c>
      <c r="E765" s="7" t="s">
        <v>165</v>
      </c>
      <c r="F765" s="9">
        <v>1.67</v>
      </c>
    </row>
    <row r="766" spans="1:6" x14ac:dyDescent="0.35">
      <c r="A766" s="10">
        <v>1228</v>
      </c>
      <c r="B766" s="7">
        <v>1</v>
      </c>
      <c r="C766" s="7" t="s">
        <v>130</v>
      </c>
      <c r="D766" s="7">
        <v>5</v>
      </c>
      <c r="E766" s="7" t="s">
        <v>165</v>
      </c>
      <c r="F766" s="9">
        <v>1.67</v>
      </c>
    </row>
    <row r="767" spans="1:6" x14ac:dyDescent="0.35">
      <c r="A767" s="10">
        <v>1228</v>
      </c>
      <c r="B767" s="7">
        <v>2</v>
      </c>
      <c r="C767" s="7" t="s">
        <v>136</v>
      </c>
      <c r="D767" s="7">
        <v>1</v>
      </c>
      <c r="E767" s="7" t="s">
        <v>177</v>
      </c>
      <c r="F767" s="9">
        <v>5.0199999999999996</v>
      </c>
    </row>
    <row r="768" spans="1:6" x14ac:dyDescent="0.35">
      <c r="A768" s="10">
        <v>1229</v>
      </c>
      <c r="B768" s="7">
        <v>1</v>
      </c>
      <c r="C768" s="7" t="s">
        <v>127</v>
      </c>
      <c r="D768" s="7">
        <v>1</v>
      </c>
      <c r="E768" s="7" t="s">
        <v>177</v>
      </c>
      <c r="F768" s="9">
        <v>5.0199999999999996</v>
      </c>
    </row>
    <row r="769" spans="1:6" x14ac:dyDescent="0.35">
      <c r="A769" s="10">
        <v>1229</v>
      </c>
      <c r="B769" s="7">
        <v>2</v>
      </c>
      <c r="C769" s="7" t="s">
        <v>95</v>
      </c>
      <c r="D769" s="7">
        <v>4</v>
      </c>
      <c r="E769" s="7" t="s">
        <v>197</v>
      </c>
      <c r="F769" s="9">
        <v>3.76</v>
      </c>
    </row>
    <row r="770" spans="1:6" x14ac:dyDescent="0.35">
      <c r="A770" s="10">
        <v>1230</v>
      </c>
      <c r="B770" s="7">
        <v>1</v>
      </c>
      <c r="C770" s="7" t="s">
        <v>86</v>
      </c>
      <c r="D770" s="7">
        <v>6</v>
      </c>
      <c r="E770" s="7" t="s">
        <v>177</v>
      </c>
      <c r="F770" s="9">
        <v>5.0199999999999996</v>
      </c>
    </row>
    <row r="771" spans="1:6" x14ac:dyDescent="0.35">
      <c r="A771" s="10">
        <v>1230</v>
      </c>
      <c r="B771" s="7">
        <v>2</v>
      </c>
      <c r="C771" s="7" t="s">
        <v>103</v>
      </c>
      <c r="D771" s="7">
        <v>5</v>
      </c>
      <c r="E771" s="7" t="s">
        <v>170</v>
      </c>
      <c r="F771" s="9">
        <v>6.69</v>
      </c>
    </row>
    <row r="772" spans="1:6" x14ac:dyDescent="0.35">
      <c r="A772" s="10">
        <v>1230</v>
      </c>
      <c r="B772" s="7">
        <v>3</v>
      </c>
      <c r="C772" s="7" t="s">
        <v>150</v>
      </c>
      <c r="D772" s="7">
        <v>5</v>
      </c>
      <c r="E772" s="7" t="s">
        <v>167</v>
      </c>
      <c r="F772" s="9">
        <v>8.3699999999999992</v>
      </c>
    </row>
    <row r="773" spans="1:6" x14ac:dyDescent="0.35">
      <c r="A773" s="10">
        <v>1231</v>
      </c>
      <c r="B773" s="7">
        <v>1</v>
      </c>
      <c r="C773" s="7" t="s">
        <v>81</v>
      </c>
      <c r="D773" s="7">
        <v>1</v>
      </c>
      <c r="E773" s="7" t="s">
        <v>177</v>
      </c>
      <c r="F773" s="9">
        <v>5.0199999999999996</v>
      </c>
    </row>
    <row r="774" spans="1:6" x14ac:dyDescent="0.35">
      <c r="A774" s="10">
        <v>1231</v>
      </c>
      <c r="B774" s="7">
        <v>2</v>
      </c>
      <c r="C774" s="7" t="s">
        <v>69</v>
      </c>
      <c r="D774" s="7">
        <v>2</v>
      </c>
      <c r="E774" s="7" t="s">
        <v>170</v>
      </c>
      <c r="F774" s="9">
        <v>6.69</v>
      </c>
    </row>
    <row r="775" spans="1:6" x14ac:dyDescent="0.35">
      <c r="A775" s="10">
        <v>1232</v>
      </c>
      <c r="B775" s="7">
        <v>1</v>
      </c>
      <c r="C775" s="7" t="s">
        <v>154</v>
      </c>
      <c r="D775" s="7">
        <v>3</v>
      </c>
      <c r="E775" s="7" t="s">
        <v>167</v>
      </c>
      <c r="F775" s="9">
        <v>8.3699999999999992</v>
      </c>
    </row>
    <row r="776" spans="1:6" x14ac:dyDescent="0.35">
      <c r="A776" s="10">
        <v>1232</v>
      </c>
      <c r="B776" s="7">
        <v>2</v>
      </c>
      <c r="C776" s="7" t="s">
        <v>155</v>
      </c>
      <c r="D776" s="7">
        <v>1</v>
      </c>
      <c r="E776" s="7" t="s">
        <v>167</v>
      </c>
      <c r="F776" s="9">
        <v>8.3699999999999992</v>
      </c>
    </row>
    <row r="777" spans="1:6" x14ac:dyDescent="0.35">
      <c r="A777" s="10">
        <v>1233</v>
      </c>
      <c r="B777" s="7">
        <v>1</v>
      </c>
      <c r="C777" s="7" t="s">
        <v>129</v>
      </c>
      <c r="D777" s="7">
        <v>2</v>
      </c>
      <c r="E777" s="7" t="s">
        <v>167</v>
      </c>
      <c r="F777" s="9">
        <v>8.3699999999999992</v>
      </c>
    </row>
    <row r="778" spans="1:6" x14ac:dyDescent="0.35">
      <c r="A778" s="10">
        <v>1233</v>
      </c>
      <c r="B778" s="7">
        <v>2</v>
      </c>
      <c r="C778" s="7" t="s">
        <v>70</v>
      </c>
      <c r="D778" s="7">
        <v>4</v>
      </c>
      <c r="E778" s="7" t="s">
        <v>179</v>
      </c>
      <c r="F778" s="9">
        <v>5.86</v>
      </c>
    </row>
    <row r="779" spans="1:6" x14ac:dyDescent="0.35">
      <c r="A779" s="10">
        <v>1234</v>
      </c>
      <c r="B779" s="7">
        <v>1</v>
      </c>
      <c r="C779" s="7" t="s">
        <v>91</v>
      </c>
      <c r="D779" s="7">
        <v>6</v>
      </c>
      <c r="E779" s="7" t="s">
        <v>170</v>
      </c>
      <c r="F779" s="9">
        <v>6.69</v>
      </c>
    </row>
    <row r="780" spans="1:6" x14ac:dyDescent="0.35">
      <c r="A780" s="10">
        <v>1234</v>
      </c>
      <c r="B780" s="7">
        <v>2</v>
      </c>
      <c r="C780" s="7" t="s">
        <v>149</v>
      </c>
      <c r="D780" s="7">
        <v>4</v>
      </c>
      <c r="E780" s="7" t="s">
        <v>175</v>
      </c>
      <c r="F780" s="9">
        <v>4.18</v>
      </c>
    </row>
    <row r="781" spans="1:6" x14ac:dyDescent="0.35">
      <c r="A781" s="10">
        <v>1234</v>
      </c>
      <c r="B781" s="7">
        <v>3</v>
      </c>
      <c r="C781" s="7" t="s">
        <v>83</v>
      </c>
      <c r="D781" s="7">
        <v>3</v>
      </c>
      <c r="E781" s="7" t="s">
        <v>197</v>
      </c>
      <c r="F781" s="9">
        <v>3.76</v>
      </c>
    </row>
    <row r="782" spans="1:6" x14ac:dyDescent="0.35">
      <c r="A782" s="10">
        <v>1234</v>
      </c>
      <c r="B782" s="7">
        <v>4</v>
      </c>
      <c r="C782" s="7" t="s">
        <v>100</v>
      </c>
      <c r="D782" s="7">
        <v>7</v>
      </c>
      <c r="E782" s="7" t="s">
        <v>170</v>
      </c>
      <c r="F782" s="9">
        <v>6.69</v>
      </c>
    </row>
    <row r="783" spans="1:6" x14ac:dyDescent="0.35">
      <c r="A783" s="10">
        <v>1235</v>
      </c>
      <c r="B783" s="7">
        <v>1</v>
      </c>
      <c r="C783" s="7" t="s">
        <v>81</v>
      </c>
      <c r="D783" s="7">
        <v>4</v>
      </c>
      <c r="E783" s="7" t="s">
        <v>177</v>
      </c>
      <c r="F783" s="9">
        <v>5.0199999999999996</v>
      </c>
    </row>
    <row r="784" spans="1:6" x14ac:dyDescent="0.35">
      <c r="A784" s="10">
        <v>1235</v>
      </c>
      <c r="B784" s="7">
        <v>2</v>
      </c>
      <c r="C784" s="7" t="s">
        <v>66</v>
      </c>
      <c r="D784" s="7">
        <v>7</v>
      </c>
      <c r="E784" s="7" t="s">
        <v>177</v>
      </c>
      <c r="F784" s="9">
        <v>5.0199999999999996</v>
      </c>
    </row>
    <row r="785" spans="1:6" x14ac:dyDescent="0.35">
      <c r="A785" s="10">
        <v>1235</v>
      </c>
      <c r="B785" s="7">
        <v>3</v>
      </c>
      <c r="C785" s="7" t="s">
        <v>141</v>
      </c>
      <c r="D785" s="7">
        <v>4</v>
      </c>
      <c r="E785" s="7" t="s">
        <v>170</v>
      </c>
      <c r="F785" s="9">
        <v>6.69</v>
      </c>
    </row>
    <row r="786" spans="1:6" x14ac:dyDescent="0.35">
      <c r="A786" s="10">
        <v>1236</v>
      </c>
      <c r="B786" s="7">
        <v>1</v>
      </c>
      <c r="C786" s="7" t="s">
        <v>154</v>
      </c>
      <c r="D786" s="7">
        <v>2</v>
      </c>
      <c r="E786" s="7" t="s">
        <v>167</v>
      </c>
      <c r="F786" s="9">
        <v>8.3699999999999992</v>
      </c>
    </row>
    <row r="787" spans="1:6" x14ac:dyDescent="0.35">
      <c r="A787" s="10">
        <v>1236</v>
      </c>
      <c r="B787" s="7">
        <v>2</v>
      </c>
      <c r="C787" s="7" t="s">
        <v>110</v>
      </c>
      <c r="D787" s="7">
        <v>4</v>
      </c>
      <c r="E787" s="7" t="s">
        <v>197</v>
      </c>
      <c r="F787" s="9">
        <v>3.76</v>
      </c>
    </row>
    <row r="788" spans="1:6" x14ac:dyDescent="0.35">
      <c r="A788" s="10">
        <v>1237</v>
      </c>
      <c r="B788" s="7">
        <v>1</v>
      </c>
      <c r="C788" s="7" t="s">
        <v>107</v>
      </c>
      <c r="D788" s="7">
        <v>6</v>
      </c>
      <c r="E788" s="7" t="s">
        <v>165</v>
      </c>
      <c r="F788" s="9">
        <v>1.67</v>
      </c>
    </row>
    <row r="789" spans="1:6" x14ac:dyDescent="0.35">
      <c r="A789" s="10">
        <v>1237</v>
      </c>
      <c r="B789" s="7">
        <v>2</v>
      </c>
      <c r="C789" s="7" t="s">
        <v>104</v>
      </c>
      <c r="D789" s="7">
        <v>4</v>
      </c>
      <c r="E789" s="7" t="s">
        <v>192</v>
      </c>
      <c r="F789" s="9">
        <v>2.09</v>
      </c>
    </row>
    <row r="790" spans="1:6" x14ac:dyDescent="0.35">
      <c r="A790" s="10">
        <v>1237</v>
      </c>
      <c r="B790" s="7">
        <v>3</v>
      </c>
      <c r="C790" s="7" t="s">
        <v>81</v>
      </c>
      <c r="D790" s="7">
        <v>4</v>
      </c>
      <c r="E790" s="7" t="s">
        <v>177</v>
      </c>
      <c r="F790" s="9">
        <v>5.0199999999999996</v>
      </c>
    </row>
    <row r="791" spans="1:6" x14ac:dyDescent="0.35">
      <c r="A791" s="10">
        <v>1238</v>
      </c>
      <c r="B791" s="7">
        <v>1</v>
      </c>
      <c r="C791" s="7" t="s">
        <v>153</v>
      </c>
      <c r="D791" s="7">
        <v>3</v>
      </c>
      <c r="E791" s="7" t="s">
        <v>179</v>
      </c>
      <c r="F791" s="9">
        <v>5.86</v>
      </c>
    </row>
    <row r="792" spans="1:6" x14ac:dyDescent="0.35">
      <c r="A792" s="10">
        <v>1238</v>
      </c>
      <c r="B792" s="7">
        <v>2</v>
      </c>
      <c r="C792" s="7" t="s">
        <v>75</v>
      </c>
      <c r="D792" s="7">
        <v>1</v>
      </c>
      <c r="E792" s="7" t="s">
        <v>165</v>
      </c>
      <c r="F792" s="9">
        <v>1.67</v>
      </c>
    </row>
    <row r="793" spans="1:6" x14ac:dyDescent="0.35">
      <c r="A793" s="10">
        <v>1238</v>
      </c>
      <c r="B793" s="7">
        <v>3</v>
      </c>
      <c r="C793" s="7" t="s">
        <v>78</v>
      </c>
      <c r="D793" s="7">
        <v>1</v>
      </c>
      <c r="E793" s="7" t="s">
        <v>179</v>
      </c>
      <c r="F793" s="9">
        <v>5.86</v>
      </c>
    </row>
    <row r="794" spans="1:6" x14ac:dyDescent="0.35">
      <c r="A794" s="10">
        <v>1238</v>
      </c>
      <c r="B794" s="7">
        <v>4</v>
      </c>
      <c r="C794" s="7" t="s">
        <v>86</v>
      </c>
      <c r="D794" s="7">
        <v>2</v>
      </c>
      <c r="E794" s="7" t="s">
        <v>177</v>
      </c>
      <c r="F794" s="9">
        <v>5.0199999999999996</v>
      </c>
    </row>
    <row r="795" spans="1:6" x14ac:dyDescent="0.35">
      <c r="A795" s="10">
        <v>1238</v>
      </c>
      <c r="B795" s="7">
        <v>5</v>
      </c>
      <c r="C795" s="7" t="s">
        <v>77</v>
      </c>
      <c r="D795" s="7">
        <v>3</v>
      </c>
      <c r="E795" s="7" t="s">
        <v>165</v>
      </c>
      <c r="F795" s="9">
        <v>1.67</v>
      </c>
    </row>
    <row r="796" spans="1:6" x14ac:dyDescent="0.35">
      <c r="A796" s="10">
        <v>1239</v>
      </c>
      <c r="B796" s="7">
        <v>1</v>
      </c>
      <c r="C796" s="7" t="s">
        <v>146</v>
      </c>
      <c r="D796" s="7">
        <v>5</v>
      </c>
      <c r="E796" s="7" t="s">
        <v>175</v>
      </c>
      <c r="F796" s="9">
        <v>4.18</v>
      </c>
    </row>
    <row r="797" spans="1:6" x14ac:dyDescent="0.35">
      <c r="A797" s="10">
        <v>1239</v>
      </c>
      <c r="B797" s="7">
        <v>2</v>
      </c>
      <c r="C797" s="7" t="s">
        <v>88</v>
      </c>
      <c r="D797" s="7">
        <v>4</v>
      </c>
      <c r="E797" s="7" t="s">
        <v>175</v>
      </c>
      <c r="F797" s="9">
        <v>4.18</v>
      </c>
    </row>
    <row r="798" spans="1:6" x14ac:dyDescent="0.35">
      <c r="A798" s="10">
        <v>1239</v>
      </c>
      <c r="B798" s="7">
        <v>3</v>
      </c>
      <c r="C798" s="7" t="s">
        <v>81</v>
      </c>
      <c r="D798" s="7">
        <v>6</v>
      </c>
      <c r="E798" s="7" t="s">
        <v>177</v>
      </c>
      <c r="F798" s="9">
        <v>5.0199999999999996</v>
      </c>
    </row>
    <row r="799" spans="1:6" x14ac:dyDescent="0.35">
      <c r="A799" s="10">
        <v>1240</v>
      </c>
      <c r="B799" s="7">
        <v>1</v>
      </c>
      <c r="C799" s="7" t="s">
        <v>115</v>
      </c>
      <c r="D799" s="7">
        <v>2</v>
      </c>
      <c r="E799" s="7" t="s">
        <v>192</v>
      </c>
      <c r="F799" s="9">
        <v>2.09</v>
      </c>
    </row>
    <row r="800" spans="1:6" x14ac:dyDescent="0.35">
      <c r="A800" s="10">
        <v>1240</v>
      </c>
      <c r="B800" s="7">
        <v>2</v>
      </c>
      <c r="C800" s="7" t="s">
        <v>83</v>
      </c>
      <c r="D800" s="7">
        <v>5</v>
      </c>
      <c r="E800" s="7" t="s">
        <v>197</v>
      </c>
      <c r="F800" s="9">
        <v>3.76</v>
      </c>
    </row>
    <row r="801" spans="1:6" x14ac:dyDescent="0.35">
      <c r="A801" s="10">
        <v>1240</v>
      </c>
      <c r="B801" s="7">
        <v>3</v>
      </c>
      <c r="C801" s="7" t="s">
        <v>57</v>
      </c>
      <c r="D801" s="7">
        <v>2</v>
      </c>
      <c r="E801" s="7" t="s">
        <v>170</v>
      </c>
      <c r="F801" s="9">
        <v>6.69</v>
      </c>
    </row>
    <row r="802" spans="1:6" x14ac:dyDescent="0.35">
      <c r="A802" s="10">
        <v>1241</v>
      </c>
      <c r="B802" s="7">
        <v>1</v>
      </c>
      <c r="C802" s="7" t="s">
        <v>99</v>
      </c>
      <c r="D802" s="7">
        <v>1</v>
      </c>
      <c r="E802" s="7" t="s">
        <v>165</v>
      </c>
      <c r="F802" s="9">
        <v>1.67</v>
      </c>
    </row>
    <row r="803" spans="1:6" x14ac:dyDescent="0.35">
      <c r="A803" s="10">
        <v>1241</v>
      </c>
      <c r="B803" s="7">
        <v>2</v>
      </c>
      <c r="C803" s="7" t="s">
        <v>77</v>
      </c>
      <c r="D803" s="7">
        <v>2</v>
      </c>
      <c r="E803" s="7" t="s">
        <v>165</v>
      </c>
      <c r="F803" s="9">
        <v>1.67</v>
      </c>
    </row>
    <row r="804" spans="1:6" x14ac:dyDescent="0.35">
      <c r="A804" s="10">
        <v>1241</v>
      </c>
      <c r="B804" s="7">
        <v>3</v>
      </c>
      <c r="C804" s="7" t="s">
        <v>133</v>
      </c>
      <c r="D804" s="7">
        <v>7</v>
      </c>
      <c r="E804" s="7" t="s">
        <v>175</v>
      </c>
      <c r="F804" s="9">
        <v>4.18</v>
      </c>
    </row>
    <row r="805" spans="1:6" x14ac:dyDescent="0.35">
      <c r="A805" s="10">
        <v>1242</v>
      </c>
      <c r="B805" s="7">
        <v>1</v>
      </c>
      <c r="C805" s="7" t="s">
        <v>91</v>
      </c>
      <c r="D805" s="7">
        <v>5</v>
      </c>
      <c r="E805" s="7" t="s">
        <v>170</v>
      </c>
      <c r="F805" s="9">
        <v>6.69</v>
      </c>
    </row>
    <row r="806" spans="1:6" x14ac:dyDescent="0.35">
      <c r="A806" s="10">
        <v>1242</v>
      </c>
      <c r="B806" s="7">
        <v>2</v>
      </c>
      <c r="C806" s="7" t="s">
        <v>149</v>
      </c>
      <c r="D806" s="7">
        <v>1</v>
      </c>
      <c r="E806" s="7" t="s">
        <v>175</v>
      </c>
      <c r="F806" s="9">
        <v>4.18</v>
      </c>
    </row>
    <row r="807" spans="1:6" x14ac:dyDescent="0.35">
      <c r="A807" s="10">
        <v>1242</v>
      </c>
      <c r="B807" s="7">
        <v>3</v>
      </c>
      <c r="C807" s="7" t="s">
        <v>90</v>
      </c>
      <c r="D807" s="7">
        <v>1</v>
      </c>
      <c r="E807" s="7" t="s">
        <v>165</v>
      </c>
      <c r="F807" s="9">
        <v>1.67</v>
      </c>
    </row>
    <row r="808" spans="1:6" x14ac:dyDescent="0.35">
      <c r="A808" s="10">
        <v>1243</v>
      </c>
      <c r="B808" s="7">
        <v>1</v>
      </c>
      <c r="C808" s="7" t="s">
        <v>68</v>
      </c>
      <c r="D808" s="7">
        <v>1</v>
      </c>
      <c r="E808" s="7" t="s">
        <v>170</v>
      </c>
      <c r="F808" s="9">
        <v>6.69</v>
      </c>
    </row>
    <row r="809" spans="1:6" x14ac:dyDescent="0.35">
      <c r="A809" s="10">
        <v>1243</v>
      </c>
      <c r="B809" s="7">
        <v>2</v>
      </c>
      <c r="C809" s="7" t="s">
        <v>74</v>
      </c>
      <c r="D809" s="7">
        <v>4</v>
      </c>
      <c r="E809" s="7" t="s">
        <v>165</v>
      </c>
      <c r="F809" s="9">
        <v>1.67</v>
      </c>
    </row>
    <row r="810" spans="1:6" x14ac:dyDescent="0.35">
      <c r="A810" s="10">
        <v>1243</v>
      </c>
      <c r="B810" s="7">
        <v>3</v>
      </c>
      <c r="C810" s="7" t="s">
        <v>127</v>
      </c>
      <c r="D810" s="7">
        <v>2</v>
      </c>
      <c r="E810" s="7" t="s">
        <v>177</v>
      </c>
      <c r="F810" s="9">
        <v>5.0199999999999996</v>
      </c>
    </row>
    <row r="811" spans="1:6" x14ac:dyDescent="0.35">
      <c r="A811" s="10">
        <v>1244</v>
      </c>
      <c r="B811" s="7">
        <v>1</v>
      </c>
      <c r="C811" s="7" t="s">
        <v>135</v>
      </c>
      <c r="D811" s="7">
        <v>3</v>
      </c>
      <c r="E811" s="7" t="s">
        <v>167</v>
      </c>
      <c r="F811" s="9">
        <v>8.3699999999999992</v>
      </c>
    </row>
    <row r="812" spans="1:6" x14ac:dyDescent="0.35">
      <c r="A812" s="10">
        <v>1244</v>
      </c>
      <c r="B812" s="7">
        <v>2</v>
      </c>
      <c r="C812" s="7" t="s">
        <v>108</v>
      </c>
      <c r="D812" s="7">
        <v>4</v>
      </c>
      <c r="E812" s="7" t="s">
        <v>177</v>
      </c>
      <c r="F812" s="9">
        <v>5.0199999999999996</v>
      </c>
    </row>
    <row r="813" spans="1:6" x14ac:dyDescent="0.35">
      <c r="A813" s="10">
        <v>1244</v>
      </c>
      <c r="B813" s="7">
        <v>3</v>
      </c>
      <c r="C813" s="7" t="s">
        <v>91</v>
      </c>
      <c r="D813" s="7">
        <v>1</v>
      </c>
      <c r="E813" s="7" t="s">
        <v>170</v>
      </c>
      <c r="F813" s="9">
        <v>6.69</v>
      </c>
    </row>
    <row r="814" spans="1:6" x14ac:dyDescent="0.35">
      <c r="A814" s="10">
        <v>1245</v>
      </c>
      <c r="B814" s="7">
        <v>1</v>
      </c>
      <c r="C814" s="7" t="s">
        <v>153</v>
      </c>
      <c r="D814" s="7">
        <v>3</v>
      </c>
      <c r="E814" s="7" t="s">
        <v>179</v>
      </c>
      <c r="F814" s="9">
        <v>5.86</v>
      </c>
    </row>
    <row r="815" spans="1:6" x14ac:dyDescent="0.35">
      <c r="A815" s="10">
        <v>1245</v>
      </c>
      <c r="B815" s="7">
        <v>2</v>
      </c>
      <c r="C815" s="7" t="s">
        <v>99</v>
      </c>
      <c r="D815" s="7">
        <v>4</v>
      </c>
      <c r="E815" s="7" t="s">
        <v>165</v>
      </c>
      <c r="F815" s="9">
        <v>1.67</v>
      </c>
    </row>
    <row r="816" spans="1:6" x14ac:dyDescent="0.35">
      <c r="A816" s="10">
        <v>1245</v>
      </c>
      <c r="B816" s="7">
        <v>3</v>
      </c>
      <c r="C816" s="7" t="s">
        <v>124</v>
      </c>
      <c r="D816" s="7">
        <v>5</v>
      </c>
      <c r="E816" s="7" t="s">
        <v>167</v>
      </c>
      <c r="F816" s="9">
        <v>8.3699999999999992</v>
      </c>
    </row>
    <row r="817" spans="1:6" x14ac:dyDescent="0.35">
      <c r="A817" s="10">
        <v>1245</v>
      </c>
      <c r="B817" s="7">
        <v>4</v>
      </c>
      <c r="C817" s="7" t="s">
        <v>104</v>
      </c>
      <c r="D817" s="7">
        <v>3</v>
      </c>
      <c r="E817" s="7" t="s">
        <v>192</v>
      </c>
      <c r="F817" s="9">
        <v>2.09</v>
      </c>
    </row>
    <row r="818" spans="1:6" x14ac:dyDescent="0.35">
      <c r="A818" s="10">
        <v>1245</v>
      </c>
      <c r="B818" s="7">
        <v>5</v>
      </c>
      <c r="C818" s="7" t="s">
        <v>129</v>
      </c>
      <c r="D818" s="7">
        <v>7</v>
      </c>
      <c r="E818" s="7" t="s">
        <v>167</v>
      </c>
      <c r="F818" s="9">
        <v>8.3699999999999992</v>
      </c>
    </row>
    <row r="819" spans="1:6" x14ac:dyDescent="0.35">
      <c r="A819" s="10">
        <v>1246</v>
      </c>
      <c r="B819" s="7">
        <v>1</v>
      </c>
      <c r="C819" s="7" t="s">
        <v>85</v>
      </c>
      <c r="D819" s="7">
        <v>1</v>
      </c>
      <c r="E819" s="7" t="s">
        <v>165</v>
      </c>
      <c r="F819" s="9">
        <v>1.67</v>
      </c>
    </row>
    <row r="820" spans="1:6" x14ac:dyDescent="0.35">
      <c r="A820" s="10">
        <v>1246</v>
      </c>
      <c r="B820" s="7">
        <v>2</v>
      </c>
      <c r="C820" s="7" t="s">
        <v>115</v>
      </c>
      <c r="D820" s="7">
        <v>5</v>
      </c>
      <c r="E820" s="7" t="s">
        <v>192</v>
      </c>
      <c r="F820" s="9">
        <v>2.09</v>
      </c>
    </row>
    <row r="821" spans="1:6" x14ac:dyDescent="0.35">
      <c r="A821" s="10">
        <v>1247</v>
      </c>
      <c r="B821" s="7">
        <v>1</v>
      </c>
      <c r="C821" s="7" t="s">
        <v>156</v>
      </c>
      <c r="D821" s="7">
        <v>6</v>
      </c>
      <c r="E821" s="7" t="s">
        <v>165</v>
      </c>
      <c r="F821" s="9">
        <v>1.67</v>
      </c>
    </row>
    <row r="822" spans="1:6" x14ac:dyDescent="0.35">
      <c r="A822" s="10">
        <v>1247</v>
      </c>
      <c r="B822" s="7">
        <v>2</v>
      </c>
      <c r="C822" s="7" t="s">
        <v>67</v>
      </c>
      <c r="D822" s="7">
        <v>7</v>
      </c>
      <c r="E822" s="7" t="s">
        <v>179</v>
      </c>
      <c r="F822" s="9">
        <v>5.86</v>
      </c>
    </row>
    <row r="823" spans="1:6" x14ac:dyDescent="0.35">
      <c r="A823" s="10">
        <v>1248</v>
      </c>
      <c r="B823" s="7">
        <v>1</v>
      </c>
      <c r="C823" s="7" t="s">
        <v>96</v>
      </c>
      <c r="D823" s="7">
        <v>1</v>
      </c>
      <c r="E823" s="7" t="s">
        <v>179</v>
      </c>
      <c r="F823" s="9">
        <v>5.86</v>
      </c>
    </row>
    <row r="824" spans="1:6" x14ac:dyDescent="0.35">
      <c r="A824" s="10">
        <v>1248</v>
      </c>
      <c r="B824" s="7">
        <v>2</v>
      </c>
      <c r="C824" s="7" t="s">
        <v>124</v>
      </c>
      <c r="D824" s="7">
        <v>7</v>
      </c>
      <c r="E824" s="7" t="s">
        <v>167</v>
      </c>
      <c r="F824" s="9">
        <v>8.3699999999999992</v>
      </c>
    </row>
    <row r="825" spans="1:6" x14ac:dyDescent="0.35">
      <c r="A825" s="10">
        <v>1249</v>
      </c>
      <c r="B825" s="7">
        <v>1</v>
      </c>
      <c r="C825" s="7" t="s">
        <v>155</v>
      </c>
      <c r="D825" s="7">
        <v>4</v>
      </c>
      <c r="E825" s="7" t="s">
        <v>167</v>
      </c>
      <c r="F825" s="9">
        <v>8.3699999999999992</v>
      </c>
    </row>
    <row r="826" spans="1:6" x14ac:dyDescent="0.35">
      <c r="A826" s="10">
        <v>1249</v>
      </c>
      <c r="B826" s="7">
        <v>2</v>
      </c>
      <c r="C826" s="7" t="s">
        <v>109</v>
      </c>
      <c r="D826" s="7">
        <v>3</v>
      </c>
      <c r="E826" s="7" t="s">
        <v>179</v>
      </c>
      <c r="F826" s="9">
        <v>5.86</v>
      </c>
    </row>
    <row r="827" spans="1:6" x14ac:dyDescent="0.35">
      <c r="A827" s="10">
        <v>1249</v>
      </c>
      <c r="B827" s="7">
        <v>3</v>
      </c>
      <c r="C827" s="7" t="s">
        <v>157</v>
      </c>
      <c r="D827" s="7">
        <v>5</v>
      </c>
      <c r="E827" s="7" t="s">
        <v>165</v>
      </c>
      <c r="F827" s="9">
        <v>1.67</v>
      </c>
    </row>
    <row r="828" spans="1:6" x14ac:dyDescent="0.35">
      <c r="A828" s="10">
        <v>1250</v>
      </c>
      <c r="B828" s="7">
        <v>1</v>
      </c>
      <c r="C828" s="7" t="s">
        <v>113</v>
      </c>
      <c r="D828" s="7">
        <v>2</v>
      </c>
      <c r="E828" s="7" t="s">
        <v>177</v>
      </c>
      <c r="F828" s="9">
        <v>5.0199999999999996</v>
      </c>
    </row>
    <row r="829" spans="1:6" x14ac:dyDescent="0.35">
      <c r="A829" s="10">
        <v>1250</v>
      </c>
      <c r="B829" s="7">
        <v>2</v>
      </c>
      <c r="C829" s="7" t="s">
        <v>91</v>
      </c>
      <c r="D829" s="7">
        <v>3</v>
      </c>
      <c r="E829" s="7" t="s">
        <v>170</v>
      </c>
      <c r="F829" s="9">
        <v>6.69</v>
      </c>
    </row>
    <row r="830" spans="1:6" x14ac:dyDescent="0.35">
      <c r="A830" s="10">
        <v>1250</v>
      </c>
      <c r="B830" s="7">
        <v>3</v>
      </c>
      <c r="C830" s="7" t="s">
        <v>60</v>
      </c>
      <c r="D830" s="7">
        <v>6</v>
      </c>
      <c r="E830" s="7" t="s">
        <v>165</v>
      </c>
      <c r="F830" s="9">
        <v>1.67</v>
      </c>
    </row>
    <row r="831" spans="1:6" x14ac:dyDescent="0.35">
      <c r="A831" s="10">
        <v>1250</v>
      </c>
      <c r="B831" s="7">
        <v>4</v>
      </c>
      <c r="C831" s="7" t="s">
        <v>63</v>
      </c>
      <c r="D831" s="7">
        <v>5</v>
      </c>
      <c r="E831" s="7" t="s">
        <v>165</v>
      </c>
      <c r="F831" s="9">
        <v>1.67</v>
      </c>
    </row>
    <row r="832" spans="1:6" x14ac:dyDescent="0.35">
      <c r="A832" s="10">
        <v>1250</v>
      </c>
      <c r="B832" s="7">
        <v>5</v>
      </c>
      <c r="C832" s="7" t="s">
        <v>77</v>
      </c>
      <c r="D832" s="7">
        <v>1</v>
      </c>
      <c r="E832" s="7" t="s">
        <v>165</v>
      </c>
      <c r="F832" s="9">
        <v>1.67</v>
      </c>
    </row>
    <row r="833" spans="1:6" x14ac:dyDescent="0.35">
      <c r="A833" s="10">
        <v>1251</v>
      </c>
      <c r="B833" s="7">
        <v>1</v>
      </c>
      <c r="C833" s="7" t="s">
        <v>151</v>
      </c>
      <c r="D833" s="7">
        <v>6</v>
      </c>
      <c r="E833" s="7" t="s">
        <v>167</v>
      </c>
      <c r="F833" s="9">
        <v>8.3699999999999992</v>
      </c>
    </row>
    <row r="834" spans="1:6" x14ac:dyDescent="0.35">
      <c r="A834" s="10">
        <v>1251</v>
      </c>
      <c r="B834" s="7">
        <v>2</v>
      </c>
      <c r="C834" s="7" t="s">
        <v>105</v>
      </c>
      <c r="D834" s="7">
        <v>4</v>
      </c>
      <c r="E834" s="7" t="s">
        <v>165</v>
      </c>
      <c r="F834" s="9">
        <v>1.67</v>
      </c>
    </row>
    <row r="835" spans="1:6" x14ac:dyDescent="0.35">
      <c r="A835" s="10">
        <v>1251</v>
      </c>
      <c r="B835" s="7">
        <v>3</v>
      </c>
      <c r="C835" s="7" t="s">
        <v>99</v>
      </c>
      <c r="D835" s="7">
        <v>4</v>
      </c>
      <c r="E835" s="7" t="s">
        <v>165</v>
      </c>
      <c r="F835" s="9">
        <v>1.67</v>
      </c>
    </row>
    <row r="836" spans="1:6" x14ac:dyDescent="0.35">
      <c r="A836" s="10">
        <v>1252</v>
      </c>
      <c r="B836" s="7">
        <v>1</v>
      </c>
      <c r="C836" s="7" t="s">
        <v>76</v>
      </c>
      <c r="D836" s="7">
        <v>6</v>
      </c>
      <c r="E836" s="7" t="s">
        <v>179</v>
      </c>
      <c r="F836" s="9">
        <v>5.86</v>
      </c>
    </row>
    <row r="837" spans="1:6" x14ac:dyDescent="0.35">
      <c r="A837" s="10">
        <v>1252</v>
      </c>
      <c r="B837" s="7">
        <v>2</v>
      </c>
      <c r="C837" s="7" t="s">
        <v>157</v>
      </c>
      <c r="D837" s="7">
        <v>7</v>
      </c>
      <c r="E837" s="7" t="s">
        <v>165</v>
      </c>
      <c r="F837" s="9">
        <v>1.67</v>
      </c>
    </row>
    <row r="838" spans="1:6" x14ac:dyDescent="0.35">
      <c r="A838" s="10">
        <v>1252</v>
      </c>
      <c r="B838" s="7">
        <v>3</v>
      </c>
      <c r="C838" s="7" t="s">
        <v>88</v>
      </c>
      <c r="D838" s="7">
        <v>5</v>
      </c>
      <c r="E838" s="7" t="s">
        <v>175</v>
      </c>
      <c r="F838" s="9">
        <v>4.18</v>
      </c>
    </row>
    <row r="839" spans="1:6" x14ac:dyDescent="0.35">
      <c r="A839" s="10">
        <v>1252</v>
      </c>
      <c r="B839" s="7">
        <v>4</v>
      </c>
      <c r="C839" s="7" t="s">
        <v>130</v>
      </c>
      <c r="D839" s="7">
        <v>6</v>
      </c>
      <c r="E839" s="7" t="s">
        <v>165</v>
      </c>
      <c r="F839" s="9">
        <v>1.67</v>
      </c>
    </row>
    <row r="840" spans="1:6" x14ac:dyDescent="0.35">
      <c r="A840" s="10">
        <v>1253</v>
      </c>
      <c r="B840" s="7">
        <v>1</v>
      </c>
      <c r="C840" s="7" t="s">
        <v>149</v>
      </c>
      <c r="D840" s="7">
        <v>6</v>
      </c>
      <c r="E840" s="7" t="s">
        <v>175</v>
      </c>
      <c r="F840" s="9">
        <v>4.18</v>
      </c>
    </row>
    <row r="841" spans="1:6" x14ac:dyDescent="0.35">
      <c r="A841" s="10">
        <v>1253</v>
      </c>
      <c r="B841" s="7">
        <v>2</v>
      </c>
      <c r="C841" s="7" t="s">
        <v>115</v>
      </c>
      <c r="D841" s="7">
        <v>2</v>
      </c>
      <c r="E841" s="7" t="s">
        <v>192</v>
      </c>
      <c r="F841" s="9">
        <v>2.09</v>
      </c>
    </row>
    <row r="842" spans="1:6" x14ac:dyDescent="0.35">
      <c r="A842" s="10">
        <v>1254</v>
      </c>
      <c r="B842" s="7">
        <v>1</v>
      </c>
      <c r="C842" s="7" t="s">
        <v>60</v>
      </c>
      <c r="D842" s="7">
        <v>3</v>
      </c>
      <c r="E842" s="7" t="s">
        <v>165</v>
      </c>
      <c r="F842" s="9">
        <v>1.67</v>
      </c>
    </row>
    <row r="843" spans="1:6" x14ac:dyDescent="0.35">
      <c r="A843" s="10">
        <v>1254</v>
      </c>
      <c r="B843" s="7">
        <v>2</v>
      </c>
      <c r="C843" s="7" t="s">
        <v>91</v>
      </c>
      <c r="D843" s="7">
        <v>7</v>
      </c>
      <c r="E843" s="7" t="s">
        <v>170</v>
      </c>
      <c r="F843" s="9">
        <v>6.69</v>
      </c>
    </row>
    <row r="844" spans="1:6" x14ac:dyDescent="0.35">
      <c r="A844" s="10">
        <v>1254</v>
      </c>
      <c r="B844" s="7">
        <v>3</v>
      </c>
      <c r="C844" s="7" t="s">
        <v>78</v>
      </c>
      <c r="D844" s="7">
        <v>5</v>
      </c>
      <c r="E844" s="7" t="s">
        <v>179</v>
      </c>
      <c r="F844" s="9">
        <v>5.86</v>
      </c>
    </row>
    <row r="845" spans="1:6" x14ac:dyDescent="0.35">
      <c r="A845" s="10">
        <v>1255</v>
      </c>
      <c r="B845" s="7">
        <v>1</v>
      </c>
      <c r="C845" s="7" t="s">
        <v>79</v>
      </c>
      <c r="D845" s="7">
        <v>3</v>
      </c>
      <c r="E845" s="7" t="s">
        <v>192</v>
      </c>
      <c r="F845" s="9">
        <v>2.09</v>
      </c>
    </row>
    <row r="846" spans="1:6" x14ac:dyDescent="0.35">
      <c r="A846" s="10">
        <v>1255</v>
      </c>
      <c r="B846" s="7">
        <v>2</v>
      </c>
      <c r="C846" s="7" t="s">
        <v>72</v>
      </c>
      <c r="D846" s="7">
        <v>4</v>
      </c>
      <c r="E846" s="7" t="s">
        <v>165</v>
      </c>
      <c r="F846" s="9">
        <v>1.67</v>
      </c>
    </row>
    <row r="847" spans="1:6" x14ac:dyDescent="0.35">
      <c r="A847" s="10">
        <v>1255</v>
      </c>
      <c r="B847" s="7">
        <v>3</v>
      </c>
      <c r="C847" s="7" t="s">
        <v>111</v>
      </c>
      <c r="D847" s="7">
        <v>6</v>
      </c>
      <c r="E847" s="7" t="s">
        <v>179</v>
      </c>
      <c r="F847" s="9">
        <v>5.86</v>
      </c>
    </row>
    <row r="848" spans="1:6" x14ac:dyDescent="0.35">
      <c r="A848" s="10">
        <v>1255</v>
      </c>
      <c r="B848" s="7">
        <v>4</v>
      </c>
      <c r="C848" s="7" t="s">
        <v>66</v>
      </c>
      <c r="D848" s="7">
        <v>7</v>
      </c>
      <c r="E848" s="7" t="s">
        <v>177</v>
      </c>
      <c r="F848" s="9">
        <v>5.0199999999999996</v>
      </c>
    </row>
    <row r="849" spans="1:6" x14ac:dyDescent="0.35">
      <c r="A849" s="10">
        <v>1255</v>
      </c>
      <c r="B849" s="7">
        <v>5</v>
      </c>
      <c r="C849" s="7" t="s">
        <v>87</v>
      </c>
      <c r="D849" s="7">
        <v>5</v>
      </c>
      <c r="E849" s="7" t="s">
        <v>165</v>
      </c>
      <c r="F849" s="9">
        <v>1.67</v>
      </c>
    </row>
    <row r="850" spans="1:6" x14ac:dyDescent="0.35">
      <c r="A850" s="10">
        <v>1256</v>
      </c>
      <c r="B850" s="7">
        <v>1</v>
      </c>
      <c r="C850" s="7" t="s">
        <v>81</v>
      </c>
      <c r="D850" s="7">
        <v>6</v>
      </c>
      <c r="E850" s="7" t="s">
        <v>177</v>
      </c>
      <c r="F850" s="9">
        <v>5.0199999999999996</v>
      </c>
    </row>
    <row r="851" spans="1:6" x14ac:dyDescent="0.35">
      <c r="A851" s="10">
        <v>1256</v>
      </c>
      <c r="B851" s="7">
        <v>2</v>
      </c>
      <c r="C851" s="7" t="s">
        <v>88</v>
      </c>
      <c r="D851" s="7">
        <v>6</v>
      </c>
      <c r="E851" s="7" t="s">
        <v>175</v>
      </c>
      <c r="F851" s="9">
        <v>4.18</v>
      </c>
    </row>
    <row r="852" spans="1:6" x14ac:dyDescent="0.35">
      <c r="A852" s="10">
        <v>1256</v>
      </c>
      <c r="B852" s="7">
        <v>3</v>
      </c>
      <c r="C852" s="7" t="s">
        <v>114</v>
      </c>
      <c r="D852" s="7">
        <v>4</v>
      </c>
      <c r="E852" s="7" t="s">
        <v>197</v>
      </c>
      <c r="F852" s="9">
        <v>3.76</v>
      </c>
    </row>
    <row r="853" spans="1:6" x14ac:dyDescent="0.35">
      <c r="A853" s="10">
        <v>1256</v>
      </c>
      <c r="B853" s="7">
        <v>4</v>
      </c>
      <c r="C853" s="7" t="s">
        <v>151</v>
      </c>
      <c r="D853" s="7">
        <v>7</v>
      </c>
      <c r="E853" s="7" t="s">
        <v>167</v>
      </c>
      <c r="F853" s="9">
        <v>8.3699999999999992</v>
      </c>
    </row>
    <row r="854" spans="1:6" x14ac:dyDescent="0.35">
      <c r="A854" s="10">
        <v>1257</v>
      </c>
      <c r="B854" s="7">
        <v>1</v>
      </c>
      <c r="C854" s="7" t="s">
        <v>133</v>
      </c>
      <c r="D854" s="7">
        <v>6</v>
      </c>
      <c r="E854" s="7" t="s">
        <v>175</v>
      </c>
      <c r="F854" s="9">
        <v>4.18</v>
      </c>
    </row>
    <row r="855" spans="1:6" x14ac:dyDescent="0.35">
      <c r="A855" s="10">
        <v>1257</v>
      </c>
      <c r="B855" s="7">
        <v>2</v>
      </c>
      <c r="C855" s="7" t="s">
        <v>91</v>
      </c>
      <c r="D855" s="7">
        <v>6</v>
      </c>
      <c r="E855" s="7" t="s">
        <v>170</v>
      </c>
      <c r="F855" s="9">
        <v>6.69</v>
      </c>
    </row>
    <row r="856" spans="1:6" x14ac:dyDescent="0.35">
      <c r="A856" s="10">
        <v>1257</v>
      </c>
      <c r="B856" s="7">
        <v>3</v>
      </c>
      <c r="C856" s="7" t="s">
        <v>150</v>
      </c>
      <c r="D856" s="7">
        <v>2</v>
      </c>
      <c r="E856" s="7" t="s">
        <v>167</v>
      </c>
      <c r="F856" s="9">
        <v>8.3699999999999992</v>
      </c>
    </row>
    <row r="857" spans="1:6" x14ac:dyDescent="0.35">
      <c r="A857" s="10">
        <v>1257</v>
      </c>
      <c r="B857" s="7">
        <v>4</v>
      </c>
      <c r="C857" s="7" t="s">
        <v>70</v>
      </c>
      <c r="D857" s="7">
        <v>4</v>
      </c>
      <c r="E857" s="7" t="s">
        <v>179</v>
      </c>
      <c r="F857" s="9">
        <v>5.86</v>
      </c>
    </row>
    <row r="858" spans="1:6" x14ac:dyDescent="0.35">
      <c r="A858" s="10">
        <v>1257</v>
      </c>
      <c r="B858" s="7">
        <v>5</v>
      </c>
      <c r="C858" s="7" t="s">
        <v>131</v>
      </c>
      <c r="D858" s="7">
        <v>5</v>
      </c>
      <c r="E858" s="7" t="s">
        <v>167</v>
      </c>
      <c r="F858" s="9">
        <v>8.3699999999999992</v>
      </c>
    </row>
    <row r="859" spans="1:6" x14ac:dyDescent="0.35">
      <c r="A859" s="10">
        <v>1258</v>
      </c>
      <c r="B859" s="7">
        <v>1</v>
      </c>
      <c r="C859" s="7" t="s">
        <v>66</v>
      </c>
      <c r="D859" s="7">
        <v>5</v>
      </c>
      <c r="E859" s="7" t="s">
        <v>177</v>
      </c>
      <c r="F859" s="9">
        <v>5.0199999999999996</v>
      </c>
    </row>
    <row r="860" spans="1:6" x14ac:dyDescent="0.35">
      <c r="A860" s="10">
        <v>1258</v>
      </c>
      <c r="B860" s="7">
        <v>2</v>
      </c>
      <c r="C860" s="7" t="s">
        <v>150</v>
      </c>
      <c r="D860" s="7">
        <v>5</v>
      </c>
      <c r="E860" s="7" t="s">
        <v>167</v>
      </c>
      <c r="F860" s="9">
        <v>8.3699999999999992</v>
      </c>
    </row>
    <row r="861" spans="1:6" x14ac:dyDescent="0.35">
      <c r="A861" s="10">
        <v>1258</v>
      </c>
      <c r="B861" s="7">
        <v>3</v>
      </c>
      <c r="C861" s="7" t="s">
        <v>103</v>
      </c>
      <c r="D861" s="7">
        <v>5</v>
      </c>
      <c r="E861" s="7" t="s">
        <v>170</v>
      </c>
      <c r="F861" s="9">
        <v>6.69</v>
      </c>
    </row>
    <row r="862" spans="1:6" x14ac:dyDescent="0.35">
      <c r="A862" s="10">
        <v>1258</v>
      </c>
      <c r="B862" s="7">
        <v>4</v>
      </c>
      <c r="C862" s="7" t="s">
        <v>81</v>
      </c>
      <c r="D862" s="7">
        <v>7</v>
      </c>
      <c r="E862" s="7" t="s">
        <v>177</v>
      </c>
      <c r="F862" s="9">
        <v>5.0199999999999996</v>
      </c>
    </row>
    <row r="863" spans="1:6" x14ac:dyDescent="0.35">
      <c r="A863" s="10">
        <v>1258</v>
      </c>
      <c r="B863" s="7">
        <v>5</v>
      </c>
      <c r="C863" s="7" t="s">
        <v>118</v>
      </c>
      <c r="D863" s="7">
        <v>5</v>
      </c>
      <c r="E863" s="7" t="s">
        <v>165</v>
      </c>
      <c r="F863" s="9">
        <v>1.67</v>
      </c>
    </row>
    <row r="864" spans="1:6" x14ac:dyDescent="0.35">
      <c r="A864" s="10">
        <v>1259</v>
      </c>
      <c r="B864" s="7">
        <v>1</v>
      </c>
      <c r="C864" s="7" t="s">
        <v>69</v>
      </c>
      <c r="D864" s="7">
        <v>2</v>
      </c>
      <c r="E864" s="7" t="s">
        <v>170</v>
      </c>
      <c r="F864" s="9">
        <v>6.69</v>
      </c>
    </row>
    <row r="865" spans="1:6" x14ac:dyDescent="0.35">
      <c r="A865" s="10">
        <v>1259</v>
      </c>
      <c r="B865" s="7">
        <v>2</v>
      </c>
      <c r="C865" s="7" t="s">
        <v>121</v>
      </c>
      <c r="D865" s="7">
        <v>6</v>
      </c>
      <c r="E865" s="7" t="s">
        <v>197</v>
      </c>
      <c r="F865" s="9">
        <v>3.76</v>
      </c>
    </row>
    <row r="866" spans="1:6" x14ac:dyDescent="0.35">
      <c r="A866" s="10">
        <v>1260</v>
      </c>
      <c r="B866" s="7">
        <v>1</v>
      </c>
      <c r="C866" s="7" t="s">
        <v>122</v>
      </c>
      <c r="D866" s="7">
        <v>4</v>
      </c>
      <c r="E866" s="7" t="s">
        <v>167</v>
      </c>
      <c r="F866" s="9">
        <v>8.3699999999999992</v>
      </c>
    </row>
    <row r="867" spans="1:6" x14ac:dyDescent="0.35">
      <c r="A867" s="10">
        <v>1260</v>
      </c>
      <c r="B867" s="7">
        <v>2</v>
      </c>
      <c r="C867" s="7" t="s">
        <v>99</v>
      </c>
      <c r="D867" s="7">
        <v>3</v>
      </c>
      <c r="E867" s="7" t="s">
        <v>165</v>
      </c>
      <c r="F867" s="9">
        <v>1.67</v>
      </c>
    </row>
    <row r="868" spans="1:6" x14ac:dyDescent="0.35">
      <c r="A868" s="10">
        <v>1260</v>
      </c>
      <c r="B868" s="7">
        <v>3</v>
      </c>
      <c r="C868" s="7" t="s">
        <v>126</v>
      </c>
      <c r="D868" s="7">
        <v>6</v>
      </c>
      <c r="E868" s="7" t="s">
        <v>192</v>
      </c>
      <c r="F868" s="9">
        <v>2.09</v>
      </c>
    </row>
    <row r="869" spans="1:6" x14ac:dyDescent="0.35">
      <c r="A869" s="10">
        <v>1261</v>
      </c>
      <c r="B869" s="7">
        <v>1</v>
      </c>
      <c r="C869" s="7" t="s">
        <v>107</v>
      </c>
      <c r="D869" s="7">
        <v>1</v>
      </c>
      <c r="E869" s="7" t="s">
        <v>165</v>
      </c>
      <c r="F869" s="9">
        <v>1.67</v>
      </c>
    </row>
    <row r="870" spans="1:6" x14ac:dyDescent="0.35">
      <c r="A870" s="10">
        <v>1261</v>
      </c>
      <c r="B870" s="7">
        <v>2</v>
      </c>
      <c r="C870" s="7" t="s">
        <v>138</v>
      </c>
      <c r="D870" s="7">
        <v>5</v>
      </c>
      <c r="E870" s="7" t="s">
        <v>175</v>
      </c>
      <c r="F870" s="9">
        <v>4.18</v>
      </c>
    </row>
    <row r="871" spans="1:6" x14ac:dyDescent="0.35">
      <c r="A871" s="10">
        <v>1261</v>
      </c>
      <c r="B871" s="7">
        <v>3</v>
      </c>
      <c r="C871" s="7" t="s">
        <v>142</v>
      </c>
      <c r="D871" s="7">
        <v>5</v>
      </c>
      <c r="E871" s="7" t="s">
        <v>192</v>
      </c>
      <c r="F871" s="9">
        <v>2.09</v>
      </c>
    </row>
    <row r="872" spans="1:6" x14ac:dyDescent="0.35">
      <c r="A872" s="10">
        <v>1261</v>
      </c>
      <c r="B872" s="7">
        <v>4</v>
      </c>
      <c r="C872" s="7" t="s">
        <v>136</v>
      </c>
      <c r="D872" s="7">
        <v>3</v>
      </c>
      <c r="E872" s="7" t="s">
        <v>177</v>
      </c>
      <c r="F872" s="9">
        <v>5.0199999999999996</v>
      </c>
    </row>
    <row r="873" spans="1:6" x14ac:dyDescent="0.35">
      <c r="A873" s="10">
        <v>1262</v>
      </c>
      <c r="B873" s="7">
        <v>1</v>
      </c>
      <c r="C873" s="7" t="s">
        <v>83</v>
      </c>
      <c r="D873" s="7">
        <v>2</v>
      </c>
      <c r="E873" s="7" t="s">
        <v>197</v>
      </c>
      <c r="F873" s="9">
        <v>3.76</v>
      </c>
    </row>
    <row r="874" spans="1:6" x14ac:dyDescent="0.35">
      <c r="A874" s="10">
        <v>1262</v>
      </c>
      <c r="B874" s="7">
        <v>2</v>
      </c>
      <c r="C874" s="7" t="s">
        <v>111</v>
      </c>
      <c r="D874" s="7">
        <v>5</v>
      </c>
      <c r="E874" s="7" t="s">
        <v>179</v>
      </c>
      <c r="F874" s="9">
        <v>5.86</v>
      </c>
    </row>
    <row r="875" spans="1:6" x14ac:dyDescent="0.35">
      <c r="A875" s="10">
        <v>1262</v>
      </c>
      <c r="B875" s="7">
        <v>3</v>
      </c>
      <c r="C875" s="7" t="s">
        <v>63</v>
      </c>
      <c r="D875" s="7">
        <v>2</v>
      </c>
      <c r="E875" s="7" t="s">
        <v>165</v>
      </c>
      <c r="F875" s="9">
        <v>1.67</v>
      </c>
    </row>
    <row r="876" spans="1:6" x14ac:dyDescent="0.35">
      <c r="A876" s="10">
        <v>1263</v>
      </c>
      <c r="B876" s="7">
        <v>1</v>
      </c>
      <c r="C876" s="7" t="s">
        <v>155</v>
      </c>
      <c r="D876" s="7">
        <v>6</v>
      </c>
      <c r="E876" s="7" t="s">
        <v>167</v>
      </c>
      <c r="F876" s="9">
        <v>8.3699999999999992</v>
      </c>
    </row>
    <row r="877" spans="1:6" x14ac:dyDescent="0.35">
      <c r="A877" s="10">
        <v>1263</v>
      </c>
      <c r="B877" s="7">
        <v>2</v>
      </c>
      <c r="C877" s="7" t="s">
        <v>79</v>
      </c>
      <c r="D877" s="7">
        <v>7</v>
      </c>
      <c r="E877" s="7" t="s">
        <v>192</v>
      </c>
      <c r="F877" s="9">
        <v>2.09</v>
      </c>
    </row>
    <row r="878" spans="1:6" x14ac:dyDescent="0.35">
      <c r="A878" s="10">
        <v>1263</v>
      </c>
      <c r="B878" s="7">
        <v>3</v>
      </c>
      <c r="C878" s="7" t="s">
        <v>102</v>
      </c>
      <c r="D878" s="7">
        <v>6</v>
      </c>
      <c r="E878" s="7" t="s">
        <v>192</v>
      </c>
      <c r="F878" s="9">
        <v>2.09</v>
      </c>
    </row>
    <row r="879" spans="1:6" x14ac:dyDescent="0.35">
      <c r="A879" s="10">
        <v>1263</v>
      </c>
      <c r="B879" s="7">
        <v>4</v>
      </c>
      <c r="C879" s="7" t="s">
        <v>74</v>
      </c>
      <c r="D879" s="7">
        <v>1</v>
      </c>
      <c r="E879" s="7" t="s">
        <v>165</v>
      </c>
      <c r="F879" s="9">
        <v>1.67</v>
      </c>
    </row>
    <row r="880" spans="1:6" x14ac:dyDescent="0.35">
      <c r="A880" s="10">
        <v>1264</v>
      </c>
      <c r="B880" s="7">
        <v>1</v>
      </c>
      <c r="C880" s="7" t="s">
        <v>128</v>
      </c>
      <c r="D880" s="7">
        <v>3</v>
      </c>
      <c r="E880" s="7" t="s">
        <v>177</v>
      </c>
      <c r="F880" s="9">
        <v>5.0199999999999996</v>
      </c>
    </row>
    <row r="881" spans="1:6" x14ac:dyDescent="0.35">
      <c r="A881" s="10">
        <v>1264</v>
      </c>
      <c r="B881" s="7">
        <v>2</v>
      </c>
      <c r="C881" s="7" t="s">
        <v>143</v>
      </c>
      <c r="D881" s="7">
        <v>3</v>
      </c>
      <c r="E881" s="7" t="s">
        <v>167</v>
      </c>
      <c r="F881" s="9">
        <v>8.3699999999999992</v>
      </c>
    </row>
    <row r="882" spans="1:6" x14ac:dyDescent="0.35">
      <c r="A882" s="10">
        <v>1265</v>
      </c>
      <c r="B882" s="7">
        <v>1</v>
      </c>
      <c r="C882" s="7" t="s">
        <v>157</v>
      </c>
      <c r="D882" s="7">
        <v>5</v>
      </c>
      <c r="E882" s="7" t="s">
        <v>165</v>
      </c>
      <c r="F882" s="9">
        <v>1.67</v>
      </c>
    </row>
    <row r="883" spans="1:6" x14ac:dyDescent="0.35">
      <c r="A883" s="10">
        <v>1265</v>
      </c>
      <c r="B883" s="7">
        <v>2</v>
      </c>
      <c r="C883" s="7" t="s">
        <v>94</v>
      </c>
      <c r="D883" s="7">
        <v>1</v>
      </c>
      <c r="E883" s="7" t="s">
        <v>170</v>
      </c>
      <c r="F883" s="9">
        <v>6.69</v>
      </c>
    </row>
    <row r="884" spans="1:6" x14ac:dyDescent="0.35">
      <c r="A884" s="10">
        <v>1265</v>
      </c>
      <c r="B884" s="7">
        <v>3</v>
      </c>
      <c r="C884" s="7" t="s">
        <v>108</v>
      </c>
      <c r="D884" s="7">
        <v>5</v>
      </c>
      <c r="E884" s="7" t="s">
        <v>177</v>
      </c>
      <c r="F884" s="9">
        <v>5.0199999999999996</v>
      </c>
    </row>
    <row r="885" spans="1:6" x14ac:dyDescent="0.35">
      <c r="A885" s="10">
        <v>1265</v>
      </c>
      <c r="B885" s="7">
        <v>4</v>
      </c>
      <c r="C885" s="7" t="s">
        <v>151</v>
      </c>
      <c r="D885" s="7">
        <v>7</v>
      </c>
      <c r="E885" s="7" t="s">
        <v>167</v>
      </c>
      <c r="F885" s="9">
        <v>8.3699999999999992</v>
      </c>
    </row>
    <row r="886" spans="1:6" x14ac:dyDescent="0.35">
      <c r="A886" s="10">
        <v>1266</v>
      </c>
      <c r="B886" s="7">
        <v>1</v>
      </c>
      <c r="C886" s="7" t="s">
        <v>71</v>
      </c>
      <c r="D886" s="7">
        <v>5</v>
      </c>
      <c r="E886" s="7" t="s">
        <v>165</v>
      </c>
      <c r="F886" s="9">
        <v>1.67</v>
      </c>
    </row>
    <row r="887" spans="1:6" x14ac:dyDescent="0.35">
      <c r="A887" s="10">
        <v>1266</v>
      </c>
      <c r="B887" s="7">
        <v>2</v>
      </c>
      <c r="C887" s="7" t="s">
        <v>147</v>
      </c>
      <c r="D887" s="7">
        <v>7</v>
      </c>
      <c r="E887" s="7" t="s">
        <v>179</v>
      </c>
      <c r="F887" s="9">
        <v>5.86</v>
      </c>
    </row>
    <row r="888" spans="1:6" x14ac:dyDescent="0.35">
      <c r="A888" s="10">
        <v>1266</v>
      </c>
      <c r="B888" s="7">
        <v>3</v>
      </c>
      <c r="C888" s="7" t="s">
        <v>100</v>
      </c>
      <c r="D888" s="7">
        <v>6</v>
      </c>
      <c r="E888" s="7" t="s">
        <v>170</v>
      </c>
      <c r="F888" s="9">
        <v>6.69</v>
      </c>
    </row>
    <row r="889" spans="1:6" x14ac:dyDescent="0.35">
      <c r="A889" s="10">
        <v>1266</v>
      </c>
      <c r="B889" s="7">
        <v>4</v>
      </c>
      <c r="C889" s="7" t="s">
        <v>101</v>
      </c>
      <c r="D889" s="7">
        <v>3</v>
      </c>
      <c r="E889" s="7" t="s">
        <v>179</v>
      </c>
      <c r="F889" s="9">
        <v>5.86</v>
      </c>
    </row>
    <row r="890" spans="1:6" x14ac:dyDescent="0.35">
      <c r="A890" s="10">
        <v>1267</v>
      </c>
      <c r="B890" s="7">
        <v>1</v>
      </c>
      <c r="C890" s="7" t="s">
        <v>132</v>
      </c>
      <c r="D890" s="7">
        <v>4</v>
      </c>
      <c r="E890" s="7" t="s">
        <v>170</v>
      </c>
      <c r="F890" s="9">
        <v>6.69</v>
      </c>
    </row>
    <row r="891" spans="1:6" x14ac:dyDescent="0.35">
      <c r="A891" s="10">
        <v>1267</v>
      </c>
      <c r="B891" s="7">
        <v>2</v>
      </c>
      <c r="C891" s="7" t="s">
        <v>91</v>
      </c>
      <c r="D891" s="7">
        <v>3</v>
      </c>
      <c r="E891" s="7" t="s">
        <v>170</v>
      </c>
      <c r="F891" s="9">
        <v>6.69</v>
      </c>
    </row>
    <row r="892" spans="1:6" x14ac:dyDescent="0.35">
      <c r="A892" s="10">
        <v>1268</v>
      </c>
      <c r="B892" s="7">
        <v>1</v>
      </c>
      <c r="C892" s="7" t="s">
        <v>82</v>
      </c>
      <c r="D892" s="7">
        <v>2</v>
      </c>
      <c r="E892" s="7" t="s">
        <v>179</v>
      </c>
      <c r="F892" s="9">
        <v>5.86</v>
      </c>
    </row>
    <row r="893" spans="1:6" x14ac:dyDescent="0.35">
      <c r="A893" s="10">
        <v>1268</v>
      </c>
      <c r="B893" s="7">
        <v>2</v>
      </c>
      <c r="C893" s="7" t="s">
        <v>132</v>
      </c>
      <c r="D893" s="7">
        <v>3</v>
      </c>
      <c r="E893" s="7" t="s">
        <v>170</v>
      </c>
      <c r="F893" s="9">
        <v>6.69</v>
      </c>
    </row>
    <row r="894" spans="1:6" x14ac:dyDescent="0.35">
      <c r="A894" s="10">
        <v>1268</v>
      </c>
      <c r="B894" s="7">
        <v>3</v>
      </c>
      <c r="C894" s="7" t="s">
        <v>153</v>
      </c>
      <c r="D894" s="7">
        <v>7</v>
      </c>
      <c r="E894" s="7" t="s">
        <v>179</v>
      </c>
      <c r="F894" s="9">
        <v>5.86</v>
      </c>
    </row>
    <row r="895" spans="1:6" x14ac:dyDescent="0.35">
      <c r="A895" s="10">
        <v>1269</v>
      </c>
      <c r="B895" s="7">
        <v>1</v>
      </c>
      <c r="C895" s="7" t="s">
        <v>126</v>
      </c>
      <c r="D895" s="7">
        <v>1</v>
      </c>
      <c r="E895" s="7" t="s">
        <v>192</v>
      </c>
      <c r="F895" s="9">
        <v>2.09</v>
      </c>
    </row>
    <row r="896" spans="1:6" x14ac:dyDescent="0.35">
      <c r="A896" s="10">
        <v>1269</v>
      </c>
      <c r="B896" s="7">
        <v>2</v>
      </c>
      <c r="C896" s="7" t="s">
        <v>120</v>
      </c>
      <c r="D896" s="7">
        <v>7</v>
      </c>
      <c r="E896" s="7" t="s">
        <v>197</v>
      </c>
      <c r="F896" s="9">
        <v>3.76</v>
      </c>
    </row>
    <row r="897" spans="1:6" x14ac:dyDescent="0.35">
      <c r="A897" s="10">
        <v>1269</v>
      </c>
      <c r="B897" s="7">
        <v>3</v>
      </c>
      <c r="C897" s="7" t="s">
        <v>81</v>
      </c>
      <c r="D897" s="7">
        <v>2</v>
      </c>
      <c r="E897" s="7" t="s">
        <v>177</v>
      </c>
      <c r="F897" s="9">
        <v>5.0199999999999996</v>
      </c>
    </row>
    <row r="898" spans="1:6" x14ac:dyDescent="0.35">
      <c r="A898" s="10">
        <v>1269</v>
      </c>
      <c r="B898" s="7">
        <v>4</v>
      </c>
      <c r="C898" s="7" t="s">
        <v>129</v>
      </c>
      <c r="D898" s="7">
        <v>1</v>
      </c>
      <c r="E898" s="7" t="s">
        <v>167</v>
      </c>
      <c r="F898" s="9">
        <v>8.3699999999999992</v>
      </c>
    </row>
    <row r="899" spans="1:6" x14ac:dyDescent="0.35">
      <c r="A899" s="10">
        <v>1269</v>
      </c>
      <c r="B899" s="7">
        <v>5</v>
      </c>
      <c r="C899" s="7" t="s">
        <v>88</v>
      </c>
      <c r="D899" s="7">
        <v>6</v>
      </c>
      <c r="E899" s="7" t="s">
        <v>175</v>
      </c>
      <c r="F899" s="9">
        <v>4.18</v>
      </c>
    </row>
    <row r="900" spans="1:6" x14ac:dyDescent="0.35">
      <c r="A900" s="10">
        <v>1270</v>
      </c>
      <c r="B900" s="7">
        <v>1</v>
      </c>
      <c r="C900" s="7" t="s">
        <v>146</v>
      </c>
      <c r="D900" s="7">
        <v>6</v>
      </c>
      <c r="E900" s="7" t="s">
        <v>175</v>
      </c>
      <c r="F900" s="9">
        <v>4.18</v>
      </c>
    </row>
    <row r="901" spans="1:6" x14ac:dyDescent="0.35">
      <c r="A901" s="10">
        <v>1270</v>
      </c>
      <c r="B901" s="7">
        <v>2</v>
      </c>
      <c r="C901" s="7" t="s">
        <v>139</v>
      </c>
      <c r="D901" s="7">
        <v>6</v>
      </c>
      <c r="E901" s="7" t="s">
        <v>177</v>
      </c>
      <c r="F901" s="9">
        <v>5.0199999999999996</v>
      </c>
    </row>
    <row r="902" spans="1:6" x14ac:dyDescent="0.35">
      <c r="A902" s="10">
        <v>1270</v>
      </c>
      <c r="B902" s="7">
        <v>3</v>
      </c>
      <c r="C902" s="7" t="s">
        <v>96</v>
      </c>
      <c r="D902" s="7">
        <v>4</v>
      </c>
      <c r="E902" s="7" t="s">
        <v>179</v>
      </c>
      <c r="F902" s="9">
        <v>5.86</v>
      </c>
    </row>
    <row r="903" spans="1:6" x14ac:dyDescent="0.35">
      <c r="A903" s="10">
        <v>1270</v>
      </c>
      <c r="B903" s="7">
        <v>4</v>
      </c>
      <c r="C903" s="7" t="s">
        <v>155</v>
      </c>
      <c r="D903" s="7">
        <v>5</v>
      </c>
      <c r="E903" s="7" t="s">
        <v>167</v>
      </c>
      <c r="F903" s="9">
        <v>8.3699999999999992</v>
      </c>
    </row>
    <row r="904" spans="1:6" x14ac:dyDescent="0.35">
      <c r="A904" s="10">
        <v>1271</v>
      </c>
      <c r="B904" s="7">
        <v>1</v>
      </c>
      <c r="C904" s="7" t="s">
        <v>74</v>
      </c>
      <c r="D904" s="7">
        <v>1</v>
      </c>
      <c r="E904" s="7" t="s">
        <v>165</v>
      </c>
      <c r="F904" s="9">
        <v>1.67</v>
      </c>
    </row>
    <row r="905" spans="1:6" x14ac:dyDescent="0.35">
      <c r="A905" s="10">
        <v>1271</v>
      </c>
      <c r="B905" s="7">
        <v>2</v>
      </c>
      <c r="C905" s="7" t="s">
        <v>153</v>
      </c>
      <c r="D905" s="7">
        <v>2</v>
      </c>
      <c r="E905" s="7" t="s">
        <v>179</v>
      </c>
      <c r="F905" s="9">
        <v>5.86</v>
      </c>
    </row>
    <row r="906" spans="1:6" x14ac:dyDescent="0.35">
      <c r="A906" s="10">
        <v>1271</v>
      </c>
      <c r="B906" s="7">
        <v>3</v>
      </c>
      <c r="C906" s="7" t="s">
        <v>146</v>
      </c>
      <c r="D906" s="7">
        <v>5</v>
      </c>
      <c r="E906" s="7" t="s">
        <v>175</v>
      </c>
      <c r="F906" s="9">
        <v>4.18</v>
      </c>
    </row>
    <row r="907" spans="1:6" x14ac:dyDescent="0.35">
      <c r="A907" s="10">
        <v>1271</v>
      </c>
      <c r="B907" s="7">
        <v>4</v>
      </c>
      <c r="C907" s="7" t="s">
        <v>122</v>
      </c>
      <c r="D907" s="7">
        <v>1</v>
      </c>
      <c r="E907" s="7" t="s">
        <v>167</v>
      </c>
      <c r="F907" s="9">
        <v>8.3699999999999992</v>
      </c>
    </row>
    <row r="908" spans="1:6" x14ac:dyDescent="0.35">
      <c r="A908" s="10">
        <v>1271</v>
      </c>
      <c r="B908" s="7">
        <v>5</v>
      </c>
      <c r="C908" s="7" t="s">
        <v>66</v>
      </c>
      <c r="D908" s="7">
        <v>5</v>
      </c>
      <c r="E908" s="7" t="s">
        <v>177</v>
      </c>
      <c r="F908" s="9">
        <v>5.0199999999999996</v>
      </c>
    </row>
    <row r="909" spans="1:6" x14ac:dyDescent="0.35">
      <c r="A909" s="10">
        <v>1272</v>
      </c>
      <c r="B909" s="7">
        <v>1</v>
      </c>
      <c r="C909" s="7" t="s">
        <v>102</v>
      </c>
      <c r="D909" s="7">
        <v>1</v>
      </c>
      <c r="E909" s="7" t="s">
        <v>192</v>
      </c>
      <c r="F909" s="9">
        <v>2.09</v>
      </c>
    </row>
    <row r="910" spans="1:6" x14ac:dyDescent="0.35">
      <c r="A910" s="10">
        <v>1272</v>
      </c>
      <c r="B910" s="7">
        <v>2</v>
      </c>
      <c r="C910" s="7" t="s">
        <v>70</v>
      </c>
      <c r="D910" s="7">
        <v>3</v>
      </c>
      <c r="E910" s="7" t="s">
        <v>179</v>
      </c>
      <c r="F910" s="9">
        <v>5.86</v>
      </c>
    </row>
    <row r="911" spans="1:6" x14ac:dyDescent="0.35">
      <c r="A911" s="10">
        <v>1273</v>
      </c>
      <c r="B911" s="7">
        <v>1</v>
      </c>
      <c r="C911" s="7" t="s">
        <v>91</v>
      </c>
      <c r="D911" s="7">
        <v>7</v>
      </c>
      <c r="E911" s="7" t="s">
        <v>170</v>
      </c>
      <c r="F911" s="9">
        <v>6.69</v>
      </c>
    </row>
    <row r="912" spans="1:6" x14ac:dyDescent="0.35">
      <c r="A912" s="10">
        <v>1273</v>
      </c>
      <c r="B912" s="7">
        <v>2</v>
      </c>
      <c r="C912" s="7" t="s">
        <v>83</v>
      </c>
      <c r="D912" s="7">
        <v>7</v>
      </c>
      <c r="E912" s="7" t="s">
        <v>197</v>
      </c>
      <c r="F912" s="9">
        <v>3.76</v>
      </c>
    </row>
    <row r="913" spans="1:6" x14ac:dyDescent="0.35">
      <c r="A913" s="10">
        <v>1273</v>
      </c>
      <c r="B913" s="7">
        <v>3</v>
      </c>
      <c r="C913" s="7" t="s">
        <v>67</v>
      </c>
      <c r="D913" s="7">
        <v>7</v>
      </c>
      <c r="E913" s="7" t="s">
        <v>179</v>
      </c>
      <c r="F913" s="9">
        <v>5.86</v>
      </c>
    </row>
    <row r="914" spans="1:6" x14ac:dyDescent="0.35">
      <c r="A914" s="10">
        <v>1274</v>
      </c>
      <c r="B914" s="7">
        <v>1</v>
      </c>
      <c r="C914" s="7" t="s">
        <v>117</v>
      </c>
      <c r="D914" s="7">
        <v>3</v>
      </c>
      <c r="E914" s="7" t="s">
        <v>165</v>
      </c>
      <c r="F914" s="9">
        <v>1.67</v>
      </c>
    </row>
    <row r="915" spans="1:6" x14ac:dyDescent="0.35">
      <c r="A915" s="10">
        <v>1274</v>
      </c>
      <c r="B915" s="7">
        <v>2</v>
      </c>
      <c r="C915" s="7" t="s">
        <v>131</v>
      </c>
      <c r="D915" s="7">
        <v>3</v>
      </c>
      <c r="E915" s="7" t="s">
        <v>167</v>
      </c>
      <c r="F915" s="9">
        <v>8.3699999999999992</v>
      </c>
    </row>
    <row r="916" spans="1:6" x14ac:dyDescent="0.35">
      <c r="A916" s="10">
        <v>1274</v>
      </c>
      <c r="B916" s="7">
        <v>3</v>
      </c>
      <c r="C916" s="7" t="s">
        <v>51</v>
      </c>
      <c r="D916" s="7">
        <v>6</v>
      </c>
      <c r="E916" s="7" t="s">
        <v>167</v>
      </c>
      <c r="F916" s="9">
        <v>8.3699999999999992</v>
      </c>
    </row>
    <row r="917" spans="1:6" x14ac:dyDescent="0.35">
      <c r="A917" s="10">
        <v>1275</v>
      </c>
      <c r="B917" s="7">
        <v>1</v>
      </c>
      <c r="C917" s="7" t="s">
        <v>109</v>
      </c>
      <c r="D917" s="7">
        <v>3</v>
      </c>
      <c r="E917" s="7" t="s">
        <v>179</v>
      </c>
      <c r="F917" s="9">
        <v>5.86</v>
      </c>
    </row>
    <row r="918" spans="1:6" x14ac:dyDescent="0.35">
      <c r="A918" s="10">
        <v>1275</v>
      </c>
      <c r="B918" s="7">
        <v>2</v>
      </c>
      <c r="C918" s="7" t="s">
        <v>106</v>
      </c>
      <c r="D918" s="7">
        <v>1</v>
      </c>
      <c r="E918" s="7" t="s">
        <v>167</v>
      </c>
      <c r="F918" s="9">
        <v>8.3699999999999992</v>
      </c>
    </row>
    <row r="919" spans="1:6" x14ac:dyDescent="0.35">
      <c r="A919" s="10">
        <v>1275</v>
      </c>
      <c r="B919" s="7">
        <v>3</v>
      </c>
      <c r="C919" s="7" t="s">
        <v>148</v>
      </c>
      <c r="D919" s="7">
        <v>6</v>
      </c>
      <c r="E919" s="7" t="s">
        <v>192</v>
      </c>
      <c r="F919" s="9">
        <v>2.09</v>
      </c>
    </row>
    <row r="920" spans="1:6" x14ac:dyDescent="0.35">
      <c r="A920" s="10">
        <v>1275</v>
      </c>
      <c r="B920" s="7">
        <v>4</v>
      </c>
      <c r="C920" s="7" t="s">
        <v>112</v>
      </c>
      <c r="D920" s="7">
        <v>7</v>
      </c>
      <c r="E920" s="7" t="s">
        <v>179</v>
      </c>
      <c r="F920" s="9">
        <v>5.86</v>
      </c>
    </row>
    <row r="921" spans="1:6" x14ac:dyDescent="0.35">
      <c r="A921" s="10">
        <v>1275</v>
      </c>
      <c r="B921" s="7">
        <v>5</v>
      </c>
      <c r="C921" s="7" t="s">
        <v>104</v>
      </c>
      <c r="D921" s="7">
        <v>5</v>
      </c>
      <c r="E921" s="7" t="s">
        <v>192</v>
      </c>
      <c r="F921" s="9">
        <v>2.09</v>
      </c>
    </row>
    <row r="922" spans="1:6" x14ac:dyDescent="0.35">
      <c r="A922" s="10">
        <v>1276</v>
      </c>
      <c r="B922" s="7">
        <v>1</v>
      </c>
      <c r="C922" s="7" t="s">
        <v>63</v>
      </c>
      <c r="D922" s="7">
        <v>6</v>
      </c>
      <c r="E922" s="7" t="s">
        <v>165</v>
      </c>
      <c r="F922" s="9">
        <v>1.67</v>
      </c>
    </row>
    <row r="923" spans="1:6" x14ac:dyDescent="0.35">
      <c r="A923" s="10">
        <v>1276</v>
      </c>
      <c r="B923" s="7">
        <v>2</v>
      </c>
      <c r="C923" s="7" t="s">
        <v>98</v>
      </c>
      <c r="D923" s="7">
        <v>1</v>
      </c>
      <c r="E923" s="7" t="s">
        <v>165</v>
      </c>
      <c r="F923" s="9">
        <v>1.67</v>
      </c>
    </row>
    <row r="924" spans="1:6" x14ac:dyDescent="0.35">
      <c r="A924" s="10">
        <v>1276</v>
      </c>
      <c r="B924" s="7">
        <v>3</v>
      </c>
      <c r="C924" s="7" t="s">
        <v>123</v>
      </c>
      <c r="D924" s="7">
        <v>7</v>
      </c>
      <c r="E924" s="7" t="s">
        <v>179</v>
      </c>
      <c r="F924" s="9">
        <v>5.86</v>
      </c>
    </row>
    <row r="925" spans="1:6" x14ac:dyDescent="0.35">
      <c r="A925" s="10">
        <v>1276</v>
      </c>
      <c r="B925" s="7">
        <v>4</v>
      </c>
      <c r="C925" s="7" t="s">
        <v>103</v>
      </c>
      <c r="D925" s="7">
        <v>4</v>
      </c>
      <c r="E925" s="7" t="s">
        <v>170</v>
      </c>
      <c r="F925" s="9">
        <v>6.69</v>
      </c>
    </row>
    <row r="926" spans="1:6" x14ac:dyDescent="0.35">
      <c r="A926" s="10">
        <v>1276</v>
      </c>
      <c r="B926" s="7">
        <v>5</v>
      </c>
      <c r="C926" s="7" t="s">
        <v>157</v>
      </c>
      <c r="D926" s="7">
        <v>5</v>
      </c>
      <c r="E926" s="7" t="s">
        <v>165</v>
      </c>
      <c r="F926" s="9">
        <v>1.67</v>
      </c>
    </row>
    <row r="927" spans="1:6" x14ac:dyDescent="0.35">
      <c r="A927" s="10">
        <v>1277</v>
      </c>
      <c r="B927" s="7">
        <v>1</v>
      </c>
      <c r="C927" s="7" t="s">
        <v>136</v>
      </c>
      <c r="D927" s="7">
        <v>1</v>
      </c>
      <c r="E927" s="7" t="s">
        <v>177</v>
      </c>
      <c r="F927" s="9">
        <v>5.0199999999999996</v>
      </c>
    </row>
    <row r="928" spans="1:6" x14ac:dyDescent="0.35">
      <c r="A928" s="10">
        <v>1277</v>
      </c>
      <c r="B928" s="7">
        <v>2</v>
      </c>
      <c r="C928" s="7" t="s">
        <v>48</v>
      </c>
      <c r="D928" s="7">
        <v>3</v>
      </c>
      <c r="E928" s="7" t="s">
        <v>165</v>
      </c>
      <c r="F928" s="9">
        <v>1.67</v>
      </c>
    </row>
    <row r="929" spans="1:6" x14ac:dyDescent="0.35">
      <c r="A929" s="10">
        <v>1277</v>
      </c>
      <c r="B929" s="7">
        <v>3</v>
      </c>
      <c r="C929" s="7" t="s">
        <v>134</v>
      </c>
      <c r="D929" s="7">
        <v>7</v>
      </c>
      <c r="E929" s="7" t="s">
        <v>177</v>
      </c>
      <c r="F929" s="9">
        <v>5.0199999999999996</v>
      </c>
    </row>
    <row r="930" spans="1:6" x14ac:dyDescent="0.35">
      <c r="A930" s="10">
        <v>1278</v>
      </c>
      <c r="B930" s="7">
        <v>1</v>
      </c>
      <c r="C930" s="7" t="s">
        <v>133</v>
      </c>
      <c r="D930" s="7">
        <v>6</v>
      </c>
      <c r="E930" s="7" t="s">
        <v>175</v>
      </c>
      <c r="F930" s="9">
        <v>4.18</v>
      </c>
    </row>
    <row r="931" spans="1:6" x14ac:dyDescent="0.35">
      <c r="A931" s="10">
        <v>1278</v>
      </c>
      <c r="B931" s="7">
        <v>2</v>
      </c>
      <c r="C931" s="7" t="s">
        <v>114</v>
      </c>
      <c r="D931" s="7">
        <v>4</v>
      </c>
      <c r="E931" s="7" t="s">
        <v>197</v>
      </c>
      <c r="F931" s="9">
        <v>3.76</v>
      </c>
    </row>
    <row r="932" spans="1:6" x14ac:dyDescent="0.35">
      <c r="A932" s="10">
        <v>1279</v>
      </c>
      <c r="B932" s="7">
        <v>1</v>
      </c>
      <c r="C932" s="7" t="s">
        <v>81</v>
      </c>
      <c r="D932" s="7">
        <v>6</v>
      </c>
      <c r="E932" s="7" t="s">
        <v>177</v>
      </c>
      <c r="F932" s="9">
        <v>5.0199999999999996</v>
      </c>
    </row>
    <row r="933" spans="1:6" x14ac:dyDescent="0.35">
      <c r="A933" s="10">
        <v>1279</v>
      </c>
      <c r="B933" s="7">
        <v>2</v>
      </c>
      <c r="C933" s="7" t="s">
        <v>99</v>
      </c>
      <c r="D933" s="7">
        <v>3</v>
      </c>
      <c r="E933" s="7" t="s">
        <v>165</v>
      </c>
      <c r="F933" s="9">
        <v>1.67</v>
      </c>
    </row>
    <row r="934" spans="1:6" x14ac:dyDescent="0.35">
      <c r="A934" s="10">
        <v>1279</v>
      </c>
      <c r="B934" s="7">
        <v>3</v>
      </c>
      <c r="C934" s="7" t="s">
        <v>118</v>
      </c>
      <c r="D934" s="7">
        <v>7</v>
      </c>
      <c r="E934" s="7" t="s">
        <v>165</v>
      </c>
      <c r="F934" s="9">
        <v>1.67</v>
      </c>
    </row>
    <row r="935" spans="1:6" x14ac:dyDescent="0.35">
      <c r="A935" s="10">
        <v>1279</v>
      </c>
      <c r="B935" s="7">
        <v>4</v>
      </c>
      <c r="C935" s="7" t="s">
        <v>74</v>
      </c>
      <c r="D935" s="7">
        <v>2</v>
      </c>
      <c r="E935" s="7" t="s">
        <v>165</v>
      </c>
      <c r="F935" s="9">
        <v>1.67</v>
      </c>
    </row>
    <row r="936" spans="1:6" x14ac:dyDescent="0.35">
      <c r="A936" s="10">
        <v>1279</v>
      </c>
      <c r="B936" s="7">
        <v>5</v>
      </c>
      <c r="C936" s="7" t="s">
        <v>92</v>
      </c>
      <c r="D936" s="7">
        <v>6</v>
      </c>
      <c r="E936" s="7" t="s">
        <v>179</v>
      </c>
      <c r="F936" s="9">
        <v>5.86</v>
      </c>
    </row>
    <row r="937" spans="1:6" x14ac:dyDescent="0.35">
      <c r="A937" s="10">
        <v>1280</v>
      </c>
      <c r="B937" s="7">
        <v>1</v>
      </c>
      <c r="C937" s="7" t="s">
        <v>121</v>
      </c>
      <c r="D937" s="7">
        <v>5</v>
      </c>
      <c r="E937" s="7" t="s">
        <v>197</v>
      </c>
      <c r="F937" s="9">
        <v>3.76</v>
      </c>
    </row>
    <row r="938" spans="1:6" x14ac:dyDescent="0.35">
      <c r="A938" s="10">
        <v>1280</v>
      </c>
      <c r="B938" s="7">
        <v>2</v>
      </c>
      <c r="C938" s="7" t="s">
        <v>83</v>
      </c>
      <c r="D938" s="7">
        <v>3</v>
      </c>
      <c r="E938" s="7" t="s">
        <v>197</v>
      </c>
      <c r="F938" s="9">
        <v>3.76</v>
      </c>
    </row>
    <row r="939" spans="1:6" x14ac:dyDescent="0.35">
      <c r="A939" s="10">
        <v>1281</v>
      </c>
      <c r="B939" s="7">
        <v>1</v>
      </c>
      <c r="C939" s="7" t="s">
        <v>153</v>
      </c>
      <c r="D939" s="7">
        <v>1</v>
      </c>
      <c r="E939" s="7" t="s">
        <v>179</v>
      </c>
      <c r="F939" s="9">
        <v>5.86</v>
      </c>
    </row>
    <row r="940" spans="1:6" x14ac:dyDescent="0.35">
      <c r="A940" s="10">
        <v>1281</v>
      </c>
      <c r="B940" s="7">
        <v>2</v>
      </c>
      <c r="C940" s="7" t="s">
        <v>154</v>
      </c>
      <c r="D940" s="7">
        <v>2</v>
      </c>
      <c r="E940" s="7" t="s">
        <v>167</v>
      </c>
      <c r="F940" s="9">
        <v>8.3699999999999992</v>
      </c>
    </row>
    <row r="941" spans="1:6" x14ac:dyDescent="0.35">
      <c r="A941" s="10">
        <v>1281</v>
      </c>
      <c r="B941" s="7">
        <v>3</v>
      </c>
      <c r="C941" s="7" t="s">
        <v>48</v>
      </c>
      <c r="D941" s="7">
        <v>1</v>
      </c>
      <c r="E941" s="7" t="s">
        <v>165</v>
      </c>
      <c r="F941" s="9">
        <v>1.67</v>
      </c>
    </row>
    <row r="942" spans="1:6" x14ac:dyDescent="0.35">
      <c r="A942" s="10">
        <v>1281</v>
      </c>
      <c r="B942" s="7">
        <v>4</v>
      </c>
      <c r="C942" s="7" t="s">
        <v>67</v>
      </c>
      <c r="D942" s="7">
        <v>4</v>
      </c>
      <c r="E942" s="7" t="s">
        <v>179</v>
      </c>
      <c r="F942" s="9">
        <v>5.86</v>
      </c>
    </row>
    <row r="943" spans="1:6" x14ac:dyDescent="0.35">
      <c r="A943" s="10">
        <v>1281</v>
      </c>
      <c r="B943" s="7">
        <v>5</v>
      </c>
      <c r="C943" s="7" t="s">
        <v>147</v>
      </c>
      <c r="D943" s="7">
        <v>4</v>
      </c>
      <c r="E943" s="7" t="s">
        <v>179</v>
      </c>
      <c r="F943" s="9">
        <v>5.86</v>
      </c>
    </row>
    <row r="944" spans="1:6" x14ac:dyDescent="0.35">
      <c r="A944" s="10">
        <v>1282</v>
      </c>
      <c r="B944" s="7">
        <v>1</v>
      </c>
      <c r="C944" s="7" t="s">
        <v>105</v>
      </c>
      <c r="D944" s="7">
        <v>6</v>
      </c>
      <c r="E944" s="7" t="s">
        <v>165</v>
      </c>
      <c r="F944" s="9">
        <v>1.67</v>
      </c>
    </row>
    <row r="945" spans="1:6" x14ac:dyDescent="0.35">
      <c r="A945" s="10">
        <v>1282</v>
      </c>
      <c r="B945" s="7">
        <v>2</v>
      </c>
      <c r="C945" s="7" t="s">
        <v>138</v>
      </c>
      <c r="D945" s="7">
        <v>4</v>
      </c>
      <c r="E945" s="7" t="s">
        <v>175</v>
      </c>
      <c r="F945" s="9">
        <v>4.18</v>
      </c>
    </row>
    <row r="946" spans="1:6" x14ac:dyDescent="0.35">
      <c r="A946" s="10">
        <v>1282</v>
      </c>
      <c r="B946" s="7">
        <v>3</v>
      </c>
      <c r="C946" s="7" t="s">
        <v>121</v>
      </c>
      <c r="D946" s="7">
        <v>6</v>
      </c>
      <c r="E946" s="7" t="s">
        <v>197</v>
      </c>
      <c r="F946" s="9">
        <v>3.76</v>
      </c>
    </row>
    <row r="947" spans="1:6" x14ac:dyDescent="0.35">
      <c r="A947" s="10">
        <v>1283</v>
      </c>
      <c r="B947" s="7">
        <v>1</v>
      </c>
      <c r="C947" s="7" t="s">
        <v>85</v>
      </c>
      <c r="D947" s="7">
        <v>1</v>
      </c>
      <c r="E947" s="7" t="s">
        <v>165</v>
      </c>
      <c r="F947" s="9">
        <v>1.67</v>
      </c>
    </row>
    <row r="948" spans="1:6" x14ac:dyDescent="0.35">
      <c r="A948" s="10">
        <v>1283</v>
      </c>
      <c r="B948" s="7">
        <v>2</v>
      </c>
      <c r="C948" s="7" t="s">
        <v>71</v>
      </c>
      <c r="D948" s="7">
        <v>7</v>
      </c>
      <c r="E948" s="7" t="s">
        <v>165</v>
      </c>
      <c r="F948" s="9">
        <v>1.67</v>
      </c>
    </row>
    <row r="949" spans="1:6" x14ac:dyDescent="0.35">
      <c r="A949" s="10">
        <v>1284</v>
      </c>
      <c r="B949" s="7">
        <v>1</v>
      </c>
      <c r="C949" s="7" t="s">
        <v>82</v>
      </c>
      <c r="D949" s="7">
        <v>4</v>
      </c>
      <c r="E949" s="7" t="s">
        <v>179</v>
      </c>
      <c r="F949" s="9">
        <v>5.86</v>
      </c>
    </row>
    <row r="950" spans="1:6" x14ac:dyDescent="0.35">
      <c r="A950" s="10">
        <v>1284</v>
      </c>
      <c r="B950" s="7">
        <v>2</v>
      </c>
      <c r="C950" s="7" t="s">
        <v>102</v>
      </c>
      <c r="D950" s="7">
        <v>3</v>
      </c>
      <c r="E950" s="7" t="s">
        <v>192</v>
      </c>
      <c r="F950" s="9">
        <v>2.09</v>
      </c>
    </row>
    <row r="951" spans="1:6" x14ac:dyDescent="0.35">
      <c r="A951" s="10">
        <v>1284</v>
      </c>
      <c r="B951" s="7">
        <v>3</v>
      </c>
      <c r="C951" s="7" t="s">
        <v>101</v>
      </c>
      <c r="D951" s="7">
        <v>2</v>
      </c>
      <c r="E951" s="7" t="s">
        <v>179</v>
      </c>
      <c r="F951" s="9">
        <v>5.86</v>
      </c>
    </row>
    <row r="952" spans="1:6" x14ac:dyDescent="0.35">
      <c r="A952" s="10">
        <v>1284</v>
      </c>
      <c r="B952" s="7">
        <v>4</v>
      </c>
      <c r="C952" s="7" t="s">
        <v>83</v>
      </c>
      <c r="D952" s="7">
        <v>2</v>
      </c>
      <c r="E952" s="7" t="s">
        <v>197</v>
      </c>
      <c r="F952" s="9">
        <v>3.76</v>
      </c>
    </row>
    <row r="953" spans="1:6" x14ac:dyDescent="0.35">
      <c r="A953" s="10">
        <v>1284</v>
      </c>
      <c r="B953" s="7">
        <v>5</v>
      </c>
      <c r="C953" s="7" t="s">
        <v>73</v>
      </c>
      <c r="D953" s="7">
        <v>1</v>
      </c>
      <c r="E953" s="7" t="s">
        <v>165</v>
      </c>
      <c r="F953" s="9">
        <v>1.67</v>
      </c>
    </row>
    <row r="954" spans="1:6" x14ac:dyDescent="0.35">
      <c r="A954" s="10">
        <v>1285</v>
      </c>
      <c r="B954" s="7">
        <v>1</v>
      </c>
      <c r="C954" s="7" t="s">
        <v>89</v>
      </c>
      <c r="D954" s="7">
        <v>5</v>
      </c>
      <c r="E954" s="7" t="s">
        <v>165</v>
      </c>
      <c r="F954" s="9">
        <v>1.67</v>
      </c>
    </row>
    <row r="955" spans="1:6" x14ac:dyDescent="0.35">
      <c r="A955" s="10">
        <v>1285</v>
      </c>
      <c r="B955" s="7">
        <v>2</v>
      </c>
      <c r="C955" s="7" t="s">
        <v>131</v>
      </c>
      <c r="D955" s="7">
        <v>6</v>
      </c>
      <c r="E955" s="7" t="s">
        <v>167</v>
      </c>
      <c r="F955" s="9">
        <v>8.3699999999999992</v>
      </c>
    </row>
    <row r="956" spans="1:6" x14ac:dyDescent="0.35">
      <c r="A956" s="10">
        <v>1285</v>
      </c>
      <c r="B956" s="7">
        <v>3</v>
      </c>
      <c r="C956" s="7" t="s">
        <v>63</v>
      </c>
      <c r="D956" s="7">
        <v>6</v>
      </c>
      <c r="E956" s="7" t="s">
        <v>165</v>
      </c>
      <c r="F956" s="9">
        <v>1.67</v>
      </c>
    </row>
    <row r="957" spans="1:6" x14ac:dyDescent="0.35">
      <c r="A957" s="10">
        <v>1285</v>
      </c>
      <c r="B957" s="7">
        <v>4</v>
      </c>
      <c r="C957" s="7" t="s">
        <v>96</v>
      </c>
      <c r="D957" s="7">
        <v>5</v>
      </c>
      <c r="E957" s="7" t="s">
        <v>179</v>
      </c>
      <c r="F957" s="9">
        <v>5.86</v>
      </c>
    </row>
    <row r="958" spans="1:6" x14ac:dyDescent="0.35">
      <c r="A958" s="10">
        <v>1285</v>
      </c>
      <c r="B958" s="7">
        <v>5</v>
      </c>
      <c r="C958" s="7" t="s">
        <v>60</v>
      </c>
      <c r="D958" s="7">
        <v>1</v>
      </c>
      <c r="E958" s="7" t="s">
        <v>165</v>
      </c>
      <c r="F958" s="9">
        <v>1.67</v>
      </c>
    </row>
    <row r="959" spans="1:6" x14ac:dyDescent="0.35">
      <c r="A959" s="10">
        <v>1286</v>
      </c>
      <c r="B959" s="7">
        <v>1</v>
      </c>
      <c r="C959" s="7" t="s">
        <v>154</v>
      </c>
      <c r="D959" s="7">
        <v>6</v>
      </c>
      <c r="E959" s="7" t="s">
        <v>167</v>
      </c>
      <c r="F959" s="9">
        <v>8.3699999999999992</v>
      </c>
    </row>
    <row r="960" spans="1:6" x14ac:dyDescent="0.35">
      <c r="A960" s="10">
        <v>1286</v>
      </c>
      <c r="B960" s="7">
        <v>2</v>
      </c>
      <c r="C960" s="7" t="s">
        <v>88</v>
      </c>
      <c r="D960" s="7">
        <v>1</v>
      </c>
      <c r="E960" s="7" t="s">
        <v>175</v>
      </c>
      <c r="F960" s="9">
        <v>4.18</v>
      </c>
    </row>
    <row r="961" spans="1:6" x14ac:dyDescent="0.35">
      <c r="A961" s="10">
        <v>1287</v>
      </c>
      <c r="B961" s="7">
        <v>1</v>
      </c>
      <c r="C961" s="7" t="s">
        <v>84</v>
      </c>
      <c r="D961" s="7">
        <v>5</v>
      </c>
      <c r="E961" s="7" t="s">
        <v>192</v>
      </c>
      <c r="F961" s="9">
        <v>2.09</v>
      </c>
    </row>
    <row r="962" spans="1:6" x14ac:dyDescent="0.35">
      <c r="A962" s="10">
        <v>1287</v>
      </c>
      <c r="B962" s="7">
        <v>2</v>
      </c>
      <c r="C962" s="7" t="s">
        <v>148</v>
      </c>
      <c r="D962" s="7">
        <v>6</v>
      </c>
      <c r="E962" s="7" t="s">
        <v>192</v>
      </c>
      <c r="F962" s="9">
        <v>2.09</v>
      </c>
    </row>
    <row r="963" spans="1:6" x14ac:dyDescent="0.35">
      <c r="A963" s="10">
        <v>1287</v>
      </c>
      <c r="B963" s="7">
        <v>3</v>
      </c>
      <c r="C963" s="7" t="s">
        <v>146</v>
      </c>
      <c r="D963" s="7">
        <v>1</v>
      </c>
      <c r="E963" s="7" t="s">
        <v>175</v>
      </c>
      <c r="F963" s="9">
        <v>4.18</v>
      </c>
    </row>
    <row r="964" spans="1:6" x14ac:dyDescent="0.35">
      <c r="A964" s="10">
        <v>1287</v>
      </c>
      <c r="B964" s="7">
        <v>4</v>
      </c>
      <c r="C964" s="7" t="s">
        <v>72</v>
      </c>
      <c r="D964" s="7">
        <v>1</v>
      </c>
      <c r="E964" s="7" t="s">
        <v>165</v>
      </c>
      <c r="F964" s="9">
        <v>1.67</v>
      </c>
    </row>
    <row r="965" spans="1:6" x14ac:dyDescent="0.35">
      <c r="A965" s="10">
        <v>1287</v>
      </c>
      <c r="B965" s="7">
        <v>5</v>
      </c>
      <c r="C965" s="7" t="s">
        <v>48</v>
      </c>
      <c r="D965" s="7">
        <v>7</v>
      </c>
      <c r="E965" s="7" t="s">
        <v>165</v>
      </c>
      <c r="F965" s="9">
        <v>1.67</v>
      </c>
    </row>
    <row r="966" spans="1:6" x14ac:dyDescent="0.35">
      <c r="A966" s="10">
        <v>1288</v>
      </c>
      <c r="B966" s="7">
        <v>1</v>
      </c>
      <c r="C966" s="7" t="s">
        <v>97</v>
      </c>
      <c r="D966" s="7">
        <v>3</v>
      </c>
      <c r="E966" s="7" t="s">
        <v>165</v>
      </c>
      <c r="F966" s="9">
        <v>1.67</v>
      </c>
    </row>
    <row r="967" spans="1:6" x14ac:dyDescent="0.35">
      <c r="A967" s="10">
        <v>1288</v>
      </c>
      <c r="B967" s="7">
        <v>2</v>
      </c>
      <c r="C967" s="7" t="s">
        <v>119</v>
      </c>
      <c r="D967" s="7">
        <v>3</v>
      </c>
      <c r="E967" s="7" t="s">
        <v>165</v>
      </c>
      <c r="F967" s="9">
        <v>1.67</v>
      </c>
    </row>
    <row r="968" spans="1:6" x14ac:dyDescent="0.35">
      <c r="A968" s="10">
        <v>1288</v>
      </c>
      <c r="B968" s="7">
        <v>3</v>
      </c>
      <c r="C968" s="7" t="s">
        <v>121</v>
      </c>
      <c r="D968" s="7">
        <v>6</v>
      </c>
      <c r="E968" s="7" t="s">
        <v>197</v>
      </c>
      <c r="F968" s="9">
        <v>3.76</v>
      </c>
    </row>
    <row r="969" spans="1:6" x14ac:dyDescent="0.35">
      <c r="A969" s="10">
        <v>1288</v>
      </c>
      <c r="B969" s="7">
        <v>4</v>
      </c>
      <c r="C969" s="7" t="s">
        <v>75</v>
      </c>
      <c r="D969" s="7">
        <v>1</v>
      </c>
      <c r="E969" s="7" t="s">
        <v>165</v>
      </c>
      <c r="F969" s="9">
        <v>1.67</v>
      </c>
    </row>
    <row r="970" spans="1:6" x14ac:dyDescent="0.35">
      <c r="A970" s="10">
        <v>1288</v>
      </c>
      <c r="B970" s="7">
        <v>5</v>
      </c>
      <c r="C970" s="7" t="s">
        <v>146</v>
      </c>
      <c r="D970" s="7">
        <v>7</v>
      </c>
      <c r="E970" s="7" t="s">
        <v>175</v>
      </c>
      <c r="F970" s="9">
        <v>4.18</v>
      </c>
    </row>
    <row r="971" spans="1:6" x14ac:dyDescent="0.35">
      <c r="A971" s="10">
        <v>1289</v>
      </c>
      <c r="B971" s="7">
        <v>1</v>
      </c>
      <c r="C971" s="7" t="s">
        <v>156</v>
      </c>
      <c r="D971" s="7">
        <v>7</v>
      </c>
      <c r="E971" s="7" t="s">
        <v>165</v>
      </c>
      <c r="F971" s="9">
        <v>1.67</v>
      </c>
    </row>
    <row r="972" spans="1:6" x14ac:dyDescent="0.35">
      <c r="A972" s="10">
        <v>1289</v>
      </c>
      <c r="B972" s="7">
        <v>2</v>
      </c>
      <c r="C972" s="7" t="s">
        <v>129</v>
      </c>
      <c r="D972" s="7">
        <v>6</v>
      </c>
      <c r="E972" s="7" t="s">
        <v>167</v>
      </c>
      <c r="F972" s="9">
        <v>8.3699999999999992</v>
      </c>
    </row>
    <row r="973" spans="1:6" x14ac:dyDescent="0.35">
      <c r="A973" s="10">
        <v>1289</v>
      </c>
      <c r="B973" s="7">
        <v>3</v>
      </c>
      <c r="C973" s="7" t="s">
        <v>64</v>
      </c>
      <c r="D973" s="7">
        <v>3</v>
      </c>
      <c r="E973" s="7" t="s">
        <v>167</v>
      </c>
      <c r="F973" s="9">
        <v>8.3699999999999992</v>
      </c>
    </row>
    <row r="974" spans="1:6" x14ac:dyDescent="0.35">
      <c r="A974" s="10">
        <v>1289</v>
      </c>
      <c r="B974" s="7">
        <v>4</v>
      </c>
      <c r="C974" s="7" t="s">
        <v>80</v>
      </c>
      <c r="D974" s="7">
        <v>1</v>
      </c>
      <c r="E974" s="7" t="s">
        <v>165</v>
      </c>
      <c r="F974" s="9">
        <v>1.67</v>
      </c>
    </row>
    <row r="975" spans="1:6" x14ac:dyDescent="0.35">
      <c r="A975" s="10">
        <v>1289</v>
      </c>
      <c r="B975" s="7">
        <v>5</v>
      </c>
      <c r="C975" s="7" t="s">
        <v>89</v>
      </c>
      <c r="D975" s="7">
        <v>7</v>
      </c>
      <c r="E975" s="7" t="s">
        <v>165</v>
      </c>
      <c r="F975" s="9">
        <v>1.67</v>
      </c>
    </row>
    <row r="976" spans="1:6" x14ac:dyDescent="0.35">
      <c r="A976" s="10">
        <v>1290</v>
      </c>
      <c r="B976" s="7">
        <v>1</v>
      </c>
      <c r="C976" s="7" t="s">
        <v>67</v>
      </c>
      <c r="D976" s="7">
        <v>1</v>
      </c>
      <c r="E976" s="7" t="s">
        <v>179</v>
      </c>
      <c r="F976" s="9">
        <v>5.86</v>
      </c>
    </row>
    <row r="977" spans="1:6" x14ac:dyDescent="0.35">
      <c r="A977" s="10">
        <v>1290</v>
      </c>
      <c r="B977" s="7">
        <v>2</v>
      </c>
      <c r="C977" s="7" t="s">
        <v>103</v>
      </c>
      <c r="D977" s="7">
        <v>6</v>
      </c>
      <c r="E977" s="7" t="s">
        <v>170</v>
      </c>
      <c r="F977" s="9">
        <v>6.69</v>
      </c>
    </row>
    <row r="978" spans="1:6" x14ac:dyDescent="0.35">
      <c r="A978" s="10">
        <v>1290</v>
      </c>
      <c r="B978" s="7">
        <v>3</v>
      </c>
      <c r="C978" s="7" t="s">
        <v>93</v>
      </c>
      <c r="D978" s="7">
        <v>4</v>
      </c>
      <c r="E978" s="7" t="s">
        <v>175</v>
      </c>
      <c r="F978" s="9">
        <v>4.18</v>
      </c>
    </row>
    <row r="979" spans="1:6" x14ac:dyDescent="0.35">
      <c r="A979" s="10">
        <v>1291</v>
      </c>
      <c r="B979" s="7">
        <v>1</v>
      </c>
      <c r="C979" s="7" t="s">
        <v>144</v>
      </c>
      <c r="D979" s="7">
        <v>1</v>
      </c>
      <c r="E979" s="7" t="s">
        <v>177</v>
      </c>
      <c r="F979" s="9">
        <v>5.0199999999999996</v>
      </c>
    </row>
    <row r="980" spans="1:6" x14ac:dyDescent="0.35">
      <c r="A980" s="10">
        <v>1291</v>
      </c>
      <c r="B980" s="7">
        <v>2</v>
      </c>
      <c r="C980" s="7" t="s">
        <v>54</v>
      </c>
      <c r="D980" s="7">
        <v>1</v>
      </c>
      <c r="E980" s="7" t="s">
        <v>167</v>
      </c>
      <c r="F980" s="9">
        <v>8.3699999999999992</v>
      </c>
    </row>
    <row r="981" spans="1:6" x14ac:dyDescent="0.35">
      <c r="A981" s="10">
        <v>1291</v>
      </c>
      <c r="B981" s="7">
        <v>3</v>
      </c>
      <c r="C981" s="7" t="s">
        <v>70</v>
      </c>
      <c r="D981" s="7">
        <v>3</v>
      </c>
      <c r="E981" s="7" t="s">
        <v>179</v>
      </c>
      <c r="F981" s="9">
        <v>5.86</v>
      </c>
    </row>
    <row r="982" spans="1:6" x14ac:dyDescent="0.35">
      <c r="A982" s="10">
        <v>1291</v>
      </c>
      <c r="B982" s="7">
        <v>4</v>
      </c>
      <c r="C982" s="7" t="s">
        <v>135</v>
      </c>
      <c r="D982" s="7">
        <v>4</v>
      </c>
      <c r="E982" s="7" t="s">
        <v>167</v>
      </c>
      <c r="F982" s="9">
        <v>8.3699999999999992</v>
      </c>
    </row>
    <row r="983" spans="1:6" x14ac:dyDescent="0.35">
      <c r="A983" s="10">
        <v>1292</v>
      </c>
      <c r="B983" s="7">
        <v>1</v>
      </c>
      <c r="C983" s="7" t="s">
        <v>124</v>
      </c>
      <c r="D983" s="7">
        <v>6</v>
      </c>
      <c r="E983" s="7" t="s">
        <v>167</v>
      </c>
      <c r="F983" s="9">
        <v>8.3699999999999992</v>
      </c>
    </row>
    <row r="984" spans="1:6" x14ac:dyDescent="0.35">
      <c r="A984" s="10">
        <v>1292</v>
      </c>
      <c r="B984" s="7">
        <v>2</v>
      </c>
      <c r="C984" s="7" t="s">
        <v>74</v>
      </c>
      <c r="D984" s="7">
        <v>7</v>
      </c>
      <c r="E984" s="7" t="s">
        <v>165</v>
      </c>
      <c r="F984" s="9">
        <v>1.67</v>
      </c>
    </row>
    <row r="985" spans="1:6" x14ac:dyDescent="0.35">
      <c r="A985" s="10">
        <v>1292</v>
      </c>
      <c r="B985" s="7">
        <v>3</v>
      </c>
      <c r="C985" s="7" t="s">
        <v>51</v>
      </c>
      <c r="D985" s="7">
        <v>5</v>
      </c>
      <c r="E985" s="7" t="s">
        <v>167</v>
      </c>
      <c r="F985" s="9">
        <v>8.3699999999999992</v>
      </c>
    </row>
    <row r="986" spans="1:6" x14ac:dyDescent="0.35">
      <c r="A986" s="10">
        <v>1293</v>
      </c>
      <c r="B986" s="7">
        <v>1</v>
      </c>
      <c r="C986" s="7" t="s">
        <v>96</v>
      </c>
      <c r="D986" s="7">
        <v>1</v>
      </c>
      <c r="E986" s="7" t="s">
        <v>179</v>
      </c>
      <c r="F986" s="9">
        <v>5.86</v>
      </c>
    </row>
    <row r="987" spans="1:6" x14ac:dyDescent="0.35">
      <c r="A987" s="10">
        <v>1293</v>
      </c>
      <c r="B987" s="7">
        <v>2</v>
      </c>
      <c r="C987" s="7" t="s">
        <v>125</v>
      </c>
      <c r="D987" s="7">
        <v>7</v>
      </c>
      <c r="E987" s="7" t="s">
        <v>170</v>
      </c>
      <c r="F987" s="9">
        <v>6.69</v>
      </c>
    </row>
    <row r="988" spans="1:6" x14ac:dyDescent="0.35">
      <c r="A988" s="10">
        <v>1293</v>
      </c>
      <c r="B988" s="7">
        <v>3</v>
      </c>
      <c r="C988" s="7" t="s">
        <v>123</v>
      </c>
      <c r="D988" s="7">
        <v>2</v>
      </c>
      <c r="E988" s="7" t="s">
        <v>179</v>
      </c>
      <c r="F988" s="9">
        <v>5.86</v>
      </c>
    </row>
    <row r="989" spans="1:6" x14ac:dyDescent="0.35">
      <c r="A989" s="10">
        <v>1294</v>
      </c>
      <c r="B989" s="7">
        <v>1</v>
      </c>
      <c r="C989" s="7" t="s">
        <v>152</v>
      </c>
      <c r="D989" s="7">
        <v>7</v>
      </c>
      <c r="E989" s="7" t="s">
        <v>177</v>
      </c>
      <c r="F989" s="9">
        <v>5.0199999999999996</v>
      </c>
    </row>
    <row r="990" spans="1:6" x14ac:dyDescent="0.35">
      <c r="A990" s="10">
        <v>1294</v>
      </c>
      <c r="B990" s="7">
        <v>2</v>
      </c>
      <c r="C990" s="7" t="s">
        <v>85</v>
      </c>
      <c r="D990" s="7">
        <v>5</v>
      </c>
      <c r="E990" s="7" t="s">
        <v>165</v>
      </c>
      <c r="F990" s="9">
        <v>1.67</v>
      </c>
    </row>
    <row r="991" spans="1:6" x14ac:dyDescent="0.35">
      <c r="A991" s="10">
        <v>1294</v>
      </c>
      <c r="B991" s="7">
        <v>3</v>
      </c>
      <c r="C991" s="7" t="s">
        <v>66</v>
      </c>
      <c r="D991" s="7">
        <v>3</v>
      </c>
      <c r="E991" s="7" t="s">
        <v>177</v>
      </c>
      <c r="F991" s="9">
        <v>5.0199999999999996</v>
      </c>
    </row>
    <row r="992" spans="1:6" x14ac:dyDescent="0.35">
      <c r="A992" s="10">
        <v>1294</v>
      </c>
      <c r="B992" s="7">
        <v>4</v>
      </c>
      <c r="C992" s="7" t="s">
        <v>106</v>
      </c>
      <c r="D992" s="7">
        <v>5</v>
      </c>
      <c r="E992" s="7" t="s">
        <v>167</v>
      </c>
      <c r="F992" s="9">
        <v>8.3699999999999992</v>
      </c>
    </row>
    <row r="993" spans="1:6" x14ac:dyDescent="0.35">
      <c r="A993" s="10">
        <v>1294</v>
      </c>
      <c r="B993" s="7">
        <v>5</v>
      </c>
      <c r="C993" s="7" t="s">
        <v>79</v>
      </c>
      <c r="D993" s="7">
        <v>2</v>
      </c>
      <c r="E993" s="7" t="s">
        <v>192</v>
      </c>
      <c r="F993" s="9">
        <v>2.09</v>
      </c>
    </row>
    <row r="994" spans="1:6" x14ac:dyDescent="0.35">
      <c r="A994" s="10">
        <v>1295</v>
      </c>
      <c r="B994" s="7">
        <v>1</v>
      </c>
      <c r="C994" s="7" t="s">
        <v>108</v>
      </c>
      <c r="D994" s="7">
        <v>7</v>
      </c>
      <c r="E994" s="7" t="s">
        <v>177</v>
      </c>
      <c r="F994" s="9">
        <v>5.0199999999999996</v>
      </c>
    </row>
    <row r="995" spans="1:6" x14ac:dyDescent="0.35">
      <c r="A995" s="10">
        <v>1295</v>
      </c>
      <c r="B995" s="7">
        <v>2</v>
      </c>
      <c r="C995" s="7" t="s">
        <v>110</v>
      </c>
      <c r="D995" s="7">
        <v>7</v>
      </c>
      <c r="E995" s="7" t="s">
        <v>197</v>
      </c>
      <c r="F995" s="9">
        <v>3.76</v>
      </c>
    </row>
    <row r="996" spans="1:6" x14ac:dyDescent="0.35">
      <c r="A996" s="10">
        <v>1295</v>
      </c>
      <c r="B996" s="7">
        <v>3</v>
      </c>
      <c r="C996" s="7" t="s">
        <v>78</v>
      </c>
      <c r="D996" s="7">
        <v>7</v>
      </c>
      <c r="E996" s="7" t="s">
        <v>179</v>
      </c>
      <c r="F996" s="9">
        <v>5.86</v>
      </c>
    </row>
    <row r="997" spans="1:6" x14ac:dyDescent="0.35">
      <c r="A997" s="10">
        <v>1295</v>
      </c>
      <c r="B997" s="7">
        <v>4</v>
      </c>
      <c r="C997" s="7" t="s">
        <v>120</v>
      </c>
      <c r="D997" s="7">
        <v>5</v>
      </c>
      <c r="E997" s="7" t="s">
        <v>197</v>
      </c>
      <c r="F997" s="9">
        <v>3.76</v>
      </c>
    </row>
    <row r="998" spans="1:6" x14ac:dyDescent="0.35">
      <c r="A998" s="10">
        <v>1296</v>
      </c>
      <c r="B998" s="7">
        <v>1</v>
      </c>
      <c r="C998" s="7" t="s">
        <v>65</v>
      </c>
      <c r="D998" s="7">
        <v>5</v>
      </c>
      <c r="E998" s="7" t="s">
        <v>175</v>
      </c>
      <c r="F998" s="9">
        <v>4.18</v>
      </c>
    </row>
    <row r="999" spans="1:6" x14ac:dyDescent="0.35">
      <c r="A999" s="10">
        <v>1296</v>
      </c>
      <c r="B999" s="7">
        <v>2</v>
      </c>
      <c r="C999" s="7" t="s">
        <v>121</v>
      </c>
      <c r="D999" s="7">
        <v>7</v>
      </c>
      <c r="E999" s="7" t="s">
        <v>197</v>
      </c>
      <c r="F999" s="9">
        <v>3.76</v>
      </c>
    </row>
    <row r="1000" spans="1:6" x14ac:dyDescent="0.35">
      <c r="A1000" s="10">
        <v>1296</v>
      </c>
      <c r="B1000" s="7">
        <v>3</v>
      </c>
      <c r="C1000" s="7" t="s">
        <v>113</v>
      </c>
      <c r="D1000" s="7">
        <v>7</v>
      </c>
      <c r="E1000" s="7" t="s">
        <v>177</v>
      </c>
      <c r="F1000" s="9">
        <v>5.0199999999999996</v>
      </c>
    </row>
    <row r="1001" spans="1:6" x14ac:dyDescent="0.35">
      <c r="A1001" s="10">
        <v>1296</v>
      </c>
      <c r="B1001" s="7">
        <v>4</v>
      </c>
      <c r="C1001" s="7" t="s">
        <v>107</v>
      </c>
      <c r="D1001" s="7">
        <v>1</v>
      </c>
      <c r="E1001" s="7" t="s">
        <v>165</v>
      </c>
      <c r="F1001" s="9">
        <v>1.67</v>
      </c>
    </row>
    <row r="1002" spans="1:6" x14ac:dyDescent="0.35">
      <c r="A1002" s="10">
        <v>1297</v>
      </c>
      <c r="B1002" s="7">
        <v>1</v>
      </c>
      <c r="C1002" s="7" t="s">
        <v>157</v>
      </c>
      <c r="D1002" s="7">
        <v>4</v>
      </c>
      <c r="E1002" s="7" t="s">
        <v>165</v>
      </c>
      <c r="F1002" s="9">
        <v>1.67</v>
      </c>
    </row>
    <row r="1003" spans="1:6" x14ac:dyDescent="0.35">
      <c r="A1003" s="10">
        <v>1297</v>
      </c>
      <c r="B1003" s="7">
        <v>2</v>
      </c>
      <c r="C1003" s="7" t="s">
        <v>75</v>
      </c>
      <c r="D1003" s="7">
        <v>2</v>
      </c>
      <c r="E1003" s="7" t="s">
        <v>165</v>
      </c>
      <c r="F1003" s="9">
        <v>1.67</v>
      </c>
    </row>
    <row r="1004" spans="1:6" x14ac:dyDescent="0.35">
      <c r="A1004" s="10">
        <v>1297</v>
      </c>
      <c r="B1004" s="7">
        <v>3</v>
      </c>
      <c r="C1004" s="7" t="s">
        <v>120</v>
      </c>
      <c r="D1004" s="7">
        <v>3</v>
      </c>
      <c r="E1004" s="7" t="s">
        <v>197</v>
      </c>
      <c r="F1004" s="9">
        <v>3.76</v>
      </c>
    </row>
    <row r="1005" spans="1:6" x14ac:dyDescent="0.35">
      <c r="A1005" s="10">
        <v>1297</v>
      </c>
      <c r="B1005" s="7">
        <v>4</v>
      </c>
      <c r="C1005" s="7" t="s">
        <v>152</v>
      </c>
      <c r="D1005" s="7">
        <v>2</v>
      </c>
      <c r="E1005" s="7" t="s">
        <v>177</v>
      </c>
      <c r="F1005" s="9">
        <v>5.0199999999999996</v>
      </c>
    </row>
    <row r="1006" spans="1:6" x14ac:dyDescent="0.35">
      <c r="A1006" s="10">
        <v>1297</v>
      </c>
      <c r="B1006" s="7">
        <v>5</v>
      </c>
      <c r="C1006" s="7" t="s">
        <v>122</v>
      </c>
      <c r="D1006" s="7">
        <v>1</v>
      </c>
      <c r="E1006" s="7" t="s">
        <v>167</v>
      </c>
      <c r="F1006" s="9">
        <v>8.3699999999999992</v>
      </c>
    </row>
    <row r="1007" spans="1:6" x14ac:dyDescent="0.35">
      <c r="A1007" s="10">
        <v>1298</v>
      </c>
      <c r="B1007" s="7">
        <v>1</v>
      </c>
      <c r="C1007" s="7" t="s">
        <v>118</v>
      </c>
      <c r="D1007" s="7">
        <v>7</v>
      </c>
      <c r="E1007" s="7" t="s">
        <v>165</v>
      </c>
      <c r="F1007" s="9">
        <v>1.67</v>
      </c>
    </row>
    <row r="1008" spans="1:6" x14ac:dyDescent="0.35">
      <c r="A1008" s="10">
        <v>1298</v>
      </c>
      <c r="B1008" s="7">
        <v>2</v>
      </c>
      <c r="C1008" s="7" t="s">
        <v>116</v>
      </c>
      <c r="D1008" s="7">
        <v>5</v>
      </c>
      <c r="E1008" s="7" t="s">
        <v>165</v>
      </c>
      <c r="F1008" s="9">
        <v>1.67</v>
      </c>
    </row>
    <row r="1009" spans="1:6" x14ac:dyDescent="0.35">
      <c r="A1009" s="10">
        <v>1298</v>
      </c>
      <c r="B1009" s="7">
        <v>3</v>
      </c>
      <c r="C1009" s="7" t="s">
        <v>103</v>
      </c>
      <c r="D1009" s="7">
        <v>2</v>
      </c>
      <c r="E1009" s="7" t="s">
        <v>170</v>
      </c>
      <c r="F1009" s="9">
        <v>6.69</v>
      </c>
    </row>
    <row r="1010" spans="1:6" x14ac:dyDescent="0.35">
      <c r="A1010" s="10">
        <v>1299</v>
      </c>
      <c r="B1010" s="7">
        <v>1</v>
      </c>
      <c r="C1010" s="7" t="s">
        <v>123</v>
      </c>
      <c r="D1010" s="7">
        <v>1</v>
      </c>
      <c r="E1010" s="7" t="s">
        <v>179</v>
      </c>
      <c r="F1010" s="9">
        <v>5.86</v>
      </c>
    </row>
    <row r="1011" spans="1:6" x14ac:dyDescent="0.35">
      <c r="A1011" s="10">
        <v>1299</v>
      </c>
      <c r="B1011" s="7">
        <v>2</v>
      </c>
      <c r="C1011" s="7" t="s">
        <v>140</v>
      </c>
      <c r="D1011" s="7">
        <v>6</v>
      </c>
      <c r="E1011" s="7" t="s">
        <v>167</v>
      </c>
      <c r="F1011" s="9">
        <v>8.3699999999999992</v>
      </c>
    </row>
    <row r="1012" spans="1:6" x14ac:dyDescent="0.35">
      <c r="A1012" s="10">
        <v>1299</v>
      </c>
      <c r="B1012" s="7">
        <v>3</v>
      </c>
      <c r="C1012" s="7" t="s">
        <v>69</v>
      </c>
      <c r="D1012" s="7">
        <v>5</v>
      </c>
      <c r="E1012" s="7" t="s">
        <v>170</v>
      </c>
      <c r="F1012" s="9">
        <v>6.69</v>
      </c>
    </row>
    <row r="1013" spans="1:6" x14ac:dyDescent="0.35">
      <c r="A1013" s="10">
        <v>1299</v>
      </c>
      <c r="B1013" s="7">
        <v>4</v>
      </c>
      <c r="C1013" s="7" t="s">
        <v>51</v>
      </c>
      <c r="D1013" s="7">
        <v>7</v>
      </c>
      <c r="E1013" s="7" t="s">
        <v>167</v>
      </c>
      <c r="F1013" s="9">
        <v>8.3699999999999992</v>
      </c>
    </row>
    <row r="1014" spans="1:6" x14ac:dyDescent="0.35">
      <c r="A1014" s="10">
        <v>1299</v>
      </c>
      <c r="B1014" s="7">
        <v>5</v>
      </c>
      <c r="C1014" s="7" t="s">
        <v>57</v>
      </c>
      <c r="D1014" s="7">
        <v>4</v>
      </c>
      <c r="E1014" s="7" t="s">
        <v>170</v>
      </c>
      <c r="F1014" s="9">
        <v>6.69</v>
      </c>
    </row>
    <row r="1015" spans="1:6" x14ac:dyDescent="0.35">
      <c r="A1015" s="10">
        <v>1300</v>
      </c>
      <c r="B1015" s="7">
        <v>1</v>
      </c>
      <c r="C1015" s="7" t="s">
        <v>119</v>
      </c>
      <c r="D1015" s="7">
        <v>6</v>
      </c>
      <c r="E1015" s="7" t="s">
        <v>165</v>
      </c>
      <c r="F1015" s="9">
        <v>1.67</v>
      </c>
    </row>
    <row r="1016" spans="1:6" x14ac:dyDescent="0.35">
      <c r="A1016" s="10">
        <v>1300</v>
      </c>
      <c r="B1016" s="7">
        <v>2</v>
      </c>
      <c r="C1016" s="7" t="s">
        <v>91</v>
      </c>
      <c r="D1016" s="7">
        <v>5</v>
      </c>
      <c r="E1016" s="7" t="s">
        <v>170</v>
      </c>
      <c r="F1016" s="9">
        <v>6.69</v>
      </c>
    </row>
    <row r="1017" spans="1:6" x14ac:dyDescent="0.35">
      <c r="A1017" s="10">
        <v>1300</v>
      </c>
      <c r="B1017" s="7">
        <v>3</v>
      </c>
      <c r="C1017" s="7" t="s">
        <v>67</v>
      </c>
      <c r="D1017" s="7">
        <v>2</v>
      </c>
      <c r="E1017" s="7" t="s">
        <v>179</v>
      </c>
      <c r="F1017" s="9">
        <v>5.86</v>
      </c>
    </row>
    <row r="1018" spans="1:6" x14ac:dyDescent="0.35">
      <c r="A1018" s="10">
        <v>1300</v>
      </c>
      <c r="B1018" s="7">
        <v>4</v>
      </c>
      <c r="C1018" s="7" t="s">
        <v>51</v>
      </c>
      <c r="D1018" s="7">
        <v>4</v>
      </c>
      <c r="E1018" s="7" t="s">
        <v>167</v>
      </c>
      <c r="F1018" s="9">
        <v>8.3699999999999992</v>
      </c>
    </row>
    <row r="1019" spans="1:6" x14ac:dyDescent="0.35">
      <c r="A1019" s="10">
        <v>1301</v>
      </c>
      <c r="B1019" s="7">
        <v>1</v>
      </c>
      <c r="C1019" s="7" t="s">
        <v>57</v>
      </c>
      <c r="D1019" s="7">
        <v>3</v>
      </c>
      <c r="E1019" s="7" t="s">
        <v>170</v>
      </c>
      <c r="F1019" s="9">
        <v>6.69</v>
      </c>
    </row>
    <row r="1020" spans="1:6" x14ac:dyDescent="0.35">
      <c r="A1020" s="10">
        <v>1301</v>
      </c>
      <c r="B1020" s="7">
        <v>2</v>
      </c>
      <c r="C1020" s="7" t="s">
        <v>92</v>
      </c>
      <c r="D1020" s="7">
        <v>5</v>
      </c>
      <c r="E1020" s="7" t="s">
        <v>179</v>
      </c>
      <c r="F1020" s="9">
        <v>5.86</v>
      </c>
    </row>
    <row r="1021" spans="1:6" x14ac:dyDescent="0.35">
      <c r="A1021" s="10">
        <v>1301</v>
      </c>
      <c r="B1021" s="7">
        <v>3</v>
      </c>
      <c r="C1021" s="7" t="s">
        <v>51</v>
      </c>
      <c r="D1021" s="7">
        <v>5</v>
      </c>
      <c r="E1021" s="7" t="s">
        <v>167</v>
      </c>
      <c r="F1021" s="9">
        <v>8.3699999999999992</v>
      </c>
    </row>
    <row r="1022" spans="1:6" x14ac:dyDescent="0.35">
      <c r="A1022" s="10">
        <v>1301</v>
      </c>
      <c r="B1022" s="7">
        <v>4</v>
      </c>
      <c r="C1022" s="7" t="s">
        <v>91</v>
      </c>
      <c r="D1022" s="7">
        <v>4</v>
      </c>
      <c r="E1022" s="7" t="s">
        <v>170</v>
      </c>
      <c r="F1022" s="9">
        <v>6.69</v>
      </c>
    </row>
    <row r="1023" spans="1:6" x14ac:dyDescent="0.35">
      <c r="A1023" s="10">
        <v>1301</v>
      </c>
      <c r="B1023" s="7">
        <v>5</v>
      </c>
      <c r="C1023" s="7" t="s">
        <v>104</v>
      </c>
      <c r="D1023" s="7">
        <v>4</v>
      </c>
      <c r="E1023" s="7" t="s">
        <v>192</v>
      </c>
      <c r="F1023" s="9">
        <v>2.09</v>
      </c>
    </row>
    <row r="1024" spans="1:6" x14ac:dyDescent="0.35">
      <c r="A1024" s="10">
        <v>1302</v>
      </c>
      <c r="B1024" s="7">
        <v>1</v>
      </c>
      <c r="C1024" s="7" t="s">
        <v>136</v>
      </c>
      <c r="D1024" s="7">
        <v>3</v>
      </c>
      <c r="E1024" s="7" t="s">
        <v>177</v>
      </c>
      <c r="F1024" s="9">
        <v>5.0199999999999996</v>
      </c>
    </row>
    <row r="1025" spans="1:6" x14ac:dyDescent="0.35">
      <c r="A1025" s="10">
        <v>1302</v>
      </c>
      <c r="B1025" s="7">
        <v>2</v>
      </c>
      <c r="C1025" s="7" t="s">
        <v>146</v>
      </c>
      <c r="D1025" s="7">
        <v>3</v>
      </c>
      <c r="E1025" s="7" t="s">
        <v>175</v>
      </c>
      <c r="F1025" s="9">
        <v>4.18</v>
      </c>
    </row>
    <row r="1026" spans="1:6" x14ac:dyDescent="0.35">
      <c r="A1026" s="10">
        <v>1302</v>
      </c>
      <c r="B1026" s="7">
        <v>3</v>
      </c>
      <c r="C1026" s="7" t="s">
        <v>51</v>
      </c>
      <c r="D1026" s="7">
        <v>7</v>
      </c>
      <c r="E1026" s="7" t="s">
        <v>167</v>
      </c>
      <c r="F1026" s="9">
        <v>8.3699999999999992</v>
      </c>
    </row>
    <row r="1027" spans="1:6" x14ac:dyDescent="0.35">
      <c r="A1027" s="10">
        <v>1303</v>
      </c>
      <c r="B1027" s="7">
        <v>1</v>
      </c>
      <c r="C1027" s="7" t="s">
        <v>143</v>
      </c>
      <c r="D1027" s="7">
        <v>7</v>
      </c>
      <c r="E1027" s="7" t="s">
        <v>167</v>
      </c>
      <c r="F1027" s="9">
        <v>8.3699999999999992</v>
      </c>
    </row>
    <row r="1028" spans="1:6" x14ac:dyDescent="0.35">
      <c r="A1028" s="10">
        <v>1303</v>
      </c>
      <c r="B1028" s="7">
        <v>2</v>
      </c>
      <c r="C1028" s="7" t="s">
        <v>97</v>
      </c>
      <c r="D1028" s="7">
        <v>4</v>
      </c>
      <c r="E1028" s="7" t="s">
        <v>165</v>
      </c>
      <c r="F1028" s="9">
        <v>1.67</v>
      </c>
    </row>
    <row r="1029" spans="1:6" x14ac:dyDescent="0.35">
      <c r="A1029" s="10">
        <v>1304</v>
      </c>
      <c r="B1029" s="7">
        <v>1</v>
      </c>
      <c r="C1029" s="7" t="s">
        <v>79</v>
      </c>
      <c r="D1029" s="7">
        <v>5</v>
      </c>
      <c r="E1029" s="7" t="s">
        <v>192</v>
      </c>
      <c r="F1029" s="9">
        <v>2.09</v>
      </c>
    </row>
    <row r="1030" spans="1:6" x14ac:dyDescent="0.35">
      <c r="A1030" s="10">
        <v>1304</v>
      </c>
      <c r="B1030" s="7">
        <v>2</v>
      </c>
      <c r="C1030" s="7" t="s">
        <v>64</v>
      </c>
      <c r="D1030" s="7">
        <v>4</v>
      </c>
      <c r="E1030" s="7" t="s">
        <v>167</v>
      </c>
      <c r="F1030" s="9">
        <v>8.3699999999999992</v>
      </c>
    </row>
    <row r="1031" spans="1:6" x14ac:dyDescent="0.35">
      <c r="A1031" s="10">
        <v>1304</v>
      </c>
      <c r="B1031" s="7">
        <v>3</v>
      </c>
      <c r="C1031" s="7" t="s">
        <v>63</v>
      </c>
      <c r="D1031" s="7">
        <v>1</v>
      </c>
      <c r="E1031" s="7" t="s">
        <v>165</v>
      </c>
      <c r="F1031" s="9">
        <v>1.67</v>
      </c>
    </row>
    <row r="1032" spans="1:6" x14ac:dyDescent="0.35">
      <c r="A1032" s="10">
        <v>1304</v>
      </c>
      <c r="B1032" s="7">
        <v>4</v>
      </c>
      <c r="C1032" s="7" t="s">
        <v>66</v>
      </c>
      <c r="D1032" s="7">
        <v>1</v>
      </c>
      <c r="E1032" s="7" t="s">
        <v>177</v>
      </c>
      <c r="F1032" s="9">
        <v>5.0199999999999996</v>
      </c>
    </row>
    <row r="1033" spans="1:6" x14ac:dyDescent="0.35">
      <c r="A1033" s="10">
        <v>1304</v>
      </c>
      <c r="B1033" s="7">
        <v>5</v>
      </c>
      <c r="C1033" s="7" t="s">
        <v>125</v>
      </c>
      <c r="D1033" s="7">
        <v>7</v>
      </c>
      <c r="E1033" s="7" t="s">
        <v>170</v>
      </c>
      <c r="F1033" s="9">
        <v>6.69</v>
      </c>
    </row>
    <row r="1034" spans="1:6" x14ac:dyDescent="0.35">
      <c r="A1034" s="10">
        <v>1305</v>
      </c>
      <c r="B1034" s="7">
        <v>1</v>
      </c>
      <c r="C1034" s="7" t="s">
        <v>79</v>
      </c>
      <c r="D1034" s="7">
        <v>7</v>
      </c>
      <c r="E1034" s="7" t="s">
        <v>192</v>
      </c>
      <c r="F1034" s="9">
        <v>2.09</v>
      </c>
    </row>
    <row r="1035" spans="1:6" x14ac:dyDescent="0.35">
      <c r="A1035" s="10">
        <v>1305</v>
      </c>
      <c r="B1035" s="7">
        <v>2</v>
      </c>
      <c r="C1035" s="7" t="s">
        <v>132</v>
      </c>
      <c r="D1035" s="7">
        <v>3</v>
      </c>
      <c r="E1035" s="7" t="s">
        <v>170</v>
      </c>
      <c r="F1035" s="9">
        <v>6.69</v>
      </c>
    </row>
    <row r="1036" spans="1:6" x14ac:dyDescent="0.35">
      <c r="A1036" s="10">
        <v>1305</v>
      </c>
      <c r="B1036" s="7">
        <v>3</v>
      </c>
      <c r="C1036" s="7" t="s">
        <v>57</v>
      </c>
      <c r="D1036" s="7">
        <v>6</v>
      </c>
      <c r="E1036" s="7" t="s">
        <v>170</v>
      </c>
      <c r="F1036" s="9">
        <v>6.69</v>
      </c>
    </row>
    <row r="1037" spans="1:6" x14ac:dyDescent="0.35">
      <c r="A1037" s="10">
        <v>1305</v>
      </c>
      <c r="B1037" s="7">
        <v>4</v>
      </c>
      <c r="C1037" s="7" t="s">
        <v>147</v>
      </c>
      <c r="D1037" s="7">
        <v>2</v>
      </c>
      <c r="E1037" s="7" t="s">
        <v>179</v>
      </c>
      <c r="F1037" s="9">
        <v>5.86</v>
      </c>
    </row>
    <row r="1038" spans="1:6" x14ac:dyDescent="0.35">
      <c r="A1038" s="10">
        <v>1305</v>
      </c>
      <c r="B1038" s="7">
        <v>5</v>
      </c>
      <c r="C1038" s="7" t="s">
        <v>73</v>
      </c>
      <c r="D1038" s="7">
        <v>4</v>
      </c>
      <c r="E1038" s="7" t="s">
        <v>165</v>
      </c>
      <c r="F1038" s="9">
        <v>1.67</v>
      </c>
    </row>
    <row r="1039" spans="1:6" x14ac:dyDescent="0.35">
      <c r="A1039" s="10">
        <v>1306</v>
      </c>
      <c r="B1039" s="7">
        <v>1</v>
      </c>
      <c r="C1039" s="7" t="s">
        <v>48</v>
      </c>
      <c r="D1039" s="7">
        <v>6</v>
      </c>
      <c r="E1039" s="7" t="s">
        <v>165</v>
      </c>
      <c r="F1039" s="9">
        <v>1.67</v>
      </c>
    </row>
    <row r="1040" spans="1:6" x14ac:dyDescent="0.35">
      <c r="A1040" s="10">
        <v>1306</v>
      </c>
      <c r="B1040" s="7">
        <v>2</v>
      </c>
      <c r="C1040" s="7" t="s">
        <v>90</v>
      </c>
      <c r="D1040" s="7">
        <v>5</v>
      </c>
      <c r="E1040" s="7" t="s">
        <v>165</v>
      </c>
      <c r="F1040" s="9">
        <v>1.67</v>
      </c>
    </row>
    <row r="1041" spans="1:6" x14ac:dyDescent="0.35">
      <c r="A1041" s="10">
        <v>1306</v>
      </c>
      <c r="B1041" s="7">
        <v>3</v>
      </c>
      <c r="C1041" s="7" t="s">
        <v>103</v>
      </c>
      <c r="D1041" s="7">
        <v>7</v>
      </c>
      <c r="E1041" s="7" t="s">
        <v>170</v>
      </c>
      <c r="F1041" s="9">
        <v>6.69</v>
      </c>
    </row>
    <row r="1042" spans="1:6" x14ac:dyDescent="0.35">
      <c r="A1042" s="10">
        <v>1306</v>
      </c>
      <c r="B1042" s="7">
        <v>4</v>
      </c>
      <c r="C1042" s="7" t="s">
        <v>78</v>
      </c>
      <c r="D1042" s="7">
        <v>5</v>
      </c>
      <c r="E1042" s="7" t="s">
        <v>179</v>
      </c>
      <c r="F1042" s="9">
        <v>5.86</v>
      </c>
    </row>
    <row r="1043" spans="1:6" x14ac:dyDescent="0.35">
      <c r="A1043" s="10">
        <v>1307</v>
      </c>
      <c r="B1043" s="7">
        <v>1</v>
      </c>
      <c r="C1043" s="7" t="s">
        <v>76</v>
      </c>
      <c r="D1043" s="7">
        <v>3</v>
      </c>
      <c r="E1043" s="7" t="s">
        <v>179</v>
      </c>
      <c r="F1043" s="9">
        <v>5.86</v>
      </c>
    </row>
    <row r="1044" spans="1:6" x14ac:dyDescent="0.35">
      <c r="A1044" s="10">
        <v>1307</v>
      </c>
      <c r="B1044" s="7">
        <v>2</v>
      </c>
      <c r="C1044" s="7" t="s">
        <v>133</v>
      </c>
      <c r="D1044" s="7">
        <v>6</v>
      </c>
      <c r="E1044" s="7" t="s">
        <v>175</v>
      </c>
      <c r="F1044" s="9">
        <v>4.18</v>
      </c>
    </row>
    <row r="1045" spans="1:6" x14ac:dyDescent="0.35">
      <c r="A1045" s="10">
        <v>1307</v>
      </c>
      <c r="B1045" s="7">
        <v>3</v>
      </c>
      <c r="C1045" s="7" t="s">
        <v>93</v>
      </c>
      <c r="D1045" s="7">
        <v>7</v>
      </c>
      <c r="E1045" s="7" t="s">
        <v>175</v>
      </c>
      <c r="F1045" s="9">
        <v>4.18</v>
      </c>
    </row>
    <row r="1046" spans="1:6" x14ac:dyDescent="0.35">
      <c r="A1046" s="10">
        <v>1307</v>
      </c>
      <c r="B1046" s="7">
        <v>4</v>
      </c>
      <c r="C1046" s="7" t="s">
        <v>51</v>
      </c>
      <c r="D1046" s="7">
        <v>7</v>
      </c>
      <c r="E1046" s="7" t="s">
        <v>167</v>
      </c>
      <c r="F1046" s="9">
        <v>8.3699999999999992</v>
      </c>
    </row>
    <row r="1047" spans="1:6" x14ac:dyDescent="0.35">
      <c r="A1047" s="10">
        <v>1307</v>
      </c>
      <c r="B1047" s="7">
        <v>5</v>
      </c>
      <c r="C1047" s="7" t="s">
        <v>75</v>
      </c>
      <c r="D1047" s="7">
        <v>3</v>
      </c>
      <c r="E1047" s="7" t="s">
        <v>165</v>
      </c>
      <c r="F1047" s="9">
        <v>1.67</v>
      </c>
    </row>
    <row r="1048" spans="1:6" x14ac:dyDescent="0.35">
      <c r="A1048" s="10">
        <v>1308</v>
      </c>
      <c r="B1048" s="7">
        <v>1</v>
      </c>
      <c r="C1048" s="7" t="s">
        <v>153</v>
      </c>
      <c r="D1048" s="7">
        <v>4</v>
      </c>
      <c r="E1048" s="7" t="s">
        <v>179</v>
      </c>
      <c r="F1048" s="9">
        <v>5.86</v>
      </c>
    </row>
    <row r="1049" spans="1:6" x14ac:dyDescent="0.35">
      <c r="A1049" s="10">
        <v>1308</v>
      </c>
      <c r="B1049" s="7">
        <v>2</v>
      </c>
      <c r="C1049" s="7" t="s">
        <v>135</v>
      </c>
      <c r="D1049" s="7">
        <v>4</v>
      </c>
      <c r="E1049" s="7" t="s">
        <v>167</v>
      </c>
      <c r="F1049" s="9">
        <v>8.3699999999999992</v>
      </c>
    </row>
    <row r="1050" spans="1:6" x14ac:dyDescent="0.35">
      <c r="A1050" s="10">
        <v>1308</v>
      </c>
      <c r="B1050" s="7">
        <v>3</v>
      </c>
      <c r="C1050" s="7" t="s">
        <v>88</v>
      </c>
      <c r="D1050" s="7">
        <v>2</v>
      </c>
      <c r="E1050" s="7" t="s">
        <v>175</v>
      </c>
      <c r="F1050" s="9">
        <v>4.18</v>
      </c>
    </row>
    <row r="1051" spans="1:6" x14ac:dyDescent="0.35">
      <c r="A1051" s="10">
        <v>1308</v>
      </c>
      <c r="B1051" s="7">
        <v>4</v>
      </c>
      <c r="C1051" s="7" t="s">
        <v>123</v>
      </c>
      <c r="D1051" s="7">
        <v>3</v>
      </c>
      <c r="E1051" s="7" t="s">
        <v>179</v>
      </c>
      <c r="F1051" s="9">
        <v>5.86</v>
      </c>
    </row>
    <row r="1052" spans="1:6" x14ac:dyDescent="0.35">
      <c r="A1052" s="10">
        <v>1308</v>
      </c>
      <c r="B1052" s="7">
        <v>5</v>
      </c>
      <c r="C1052" s="7" t="s">
        <v>90</v>
      </c>
      <c r="D1052" s="7">
        <v>6</v>
      </c>
      <c r="E1052" s="7" t="s">
        <v>165</v>
      </c>
      <c r="F1052" s="9">
        <v>1.67</v>
      </c>
    </row>
    <row r="1053" spans="1:6" x14ac:dyDescent="0.35">
      <c r="A1053" s="10">
        <v>1309</v>
      </c>
      <c r="B1053" s="7">
        <v>1</v>
      </c>
      <c r="C1053" s="7" t="s">
        <v>149</v>
      </c>
      <c r="D1053" s="7">
        <v>3</v>
      </c>
      <c r="E1053" s="7" t="s">
        <v>175</v>
      </c>
      <c r="F1053" s="9">
        <v>4.18</v>
      </c>
    </row>
    <row r="1054" spans="1:6" x14ac:dyDescent="0.35">
      <c r="A1054" s="10">
        <v>1309</v>
      </c>
      <c r="B1054" s="7">
        <v>2</v>
      </c>
      <c r="C1054" s="7" t="s">
        <v>106</v>
      </c>
      <c r="D1054" s="7">
        <v>2</v>
      </c>
      <c r="E1054" s="7" t="s">
        <v>167</v>
      </c>
      <c r="F1054" s="9">
        <v>8.3699999999999992</v>
      </c>
    </row>
    <row r="1055" spans="1:6" x14ac:dyDescent="0.35">
      <c r="A1055" s="10">
        <v>1310</v>
      </c>
      <c r="B1055" s="7">
        <v>1</v>
      </c>
      <c r="C1055" s="7" t="s">
        <v>110</v>
      </c>
      <c r="D1055" s="7">
        <v>5</v>
      </c>
      <c r="E1055" s="7" t="s">
        <v>197</v>
      </c>
      <c r="F1055" s="9">
        <v>3.76</v>
      </c>
    </row>
    <row r="1056" spans="1:6" x14ac:dyDescent="0.35">
      <c r="A1056" s="10">
        <v>1310</v>
      </c>
      <c r="B1056" s="7">
        <v>2</v>
      </c>
      <c r="C1056" s="7" t="s">
        <v>113</v>
      </c>
      <c r="D1056" s="7">
        <v>7</v>
      </c>
      <c r="E1056" s="7" t="s">
        <v>177</v>
      </c>
      <c r="F1056" s="9">
        <v>5.0199999999999996</v>
      </c>
    </row>
    <row r="1057" spans="1:6" x14ac:dyDescent="0.35">
      <c r="A1057" s="10">
        <v>1311</v>
      </c>
      <c r="B1057" s="7">
        <v>1</v>
      </c>
      <c r="C1057" s="7" t="s">
        <v>77</v>
      </c>
      <c r="D1057" s="7">
        <v>4</v>
      </c>
      <c r="E1057" s="7" t="s">
        <v>165</v>
      </c>
      <c r="F1057" s="9">
        <v>1.67</v>
      </c>
    </row>
    <row r="1058" spans="1:6" x14ac:dyDescent="0.35">
      <c r="A1058" s="10">
        <v>1311</v>
      </c>
      <c r="B1058" s="7">
        <v>2</v>
      </c>
      <c r="C1058" s="7" t="s">
        <v>118</v>
      </c>
      <c r="D1058" s="7">
        <v>3</v>
      </c>
      <c r="E1058" s="7" t="s">
        <v>165</v>
      </c>
      <c r="F1058" s="9">
        <v>1.67</v>
      </c>
    </row>
    <row r="1059" spans="1:6" x14ac:dyDescent="0.35">
      <c r="A1059" s="10">
        <v>1312</v>
      </c>
      <c r="B1059" s="7">
        <v>1</v>
      </c>
      <c r="C1059" s="7" t="s">
        <v>90</v>
      </c>
      <c r="D1059" s="7">
        <v>1</v>
      </c>
      <c r="E1059" s="7" t="s">
        <v>165</v>
      </c>
      <c r="F1059" s="9">
        <v>1.67</v>
      </c>
    </row>
    <row r="1060" spans="1:6" x14ac:dyDescent="0.35">
      <c r="A1060" s="10">
        <v>1312</v>
      </c>
      <c r="B1060" s="7">
        <v>2</v>
      </c>
      <c r="C1060" s="7" t="s">
        <v>131</v>
      </c>
      <c r="D1060" s="7">
        <v>3</v>
      </c>
      <c r="E1060" s="7" t="s">
        <v>167</v>
      </c>
      <c r="F1060" s="9">
        <v>8.3699999999999992</v>
      </c>
    </row>
    <row r="1061" spans="1:6" x14ac:dyDescent="0.35">
      <c r="A1061" s="10">
        <v>1312</v>
      </c>
      <c r="B1061" s="7">
        <v>3</v>
      </c>
      <c r="C1061" s="7" t="s">
        <v>121</v>
      </c>
      <c r="D1061" s="7">
        <v>5</v>
      </c>
      <c r="E1061" s="7" t="s">
        <v>197</v>
      </c>
      <c r="F1061" s="9">
        <v>3.76</v>
      </c>
    </row>
    <row r="1062" spans="1:6" x14ac:dyDescent="0.35">
      <c r="A1062" s="10">
        <v>1313</v>
      </c>
      <c r="B1062" s="7">
        <v>1</v>
      </c>
      <c r="C1062" s="7" t="s">
        <v>137</v>
      </c>
      <c r="D1062" s="7">
        <v>4</v>
      </c>
      <c r="E1062" s="7" t="s">
        <v>165</v>
      </c>
      <c r="F1062" s="9">
        <v>1.67</v>
      </c>
    </row>
    <row r="1063" spans="1:6" x14ac:dyDescent="0.35">
      <c r="A1063" s="10">
        <v>1313</v>
      </c>
      <c r="B1063" s="7">
        <v>2</v>
      </c>
      <c r="C1063" s="7" t="s">
        <v>64</v>
      </c>
      <c r="D1063" s="7">
        <v>7</v>
      </c>
      <c r="E1063" s="7" t="s">
        <v>167</v>
      </c>
      <c r="F1063" s="9">
        <v>8.3699999999999992</v>
      </c>
    </row>
    <row r="1064" spans="1:6" x14ac:dyDescent="0.35">
      <c r="A1064" s="10">
        <v>1313</v>
      </c>
      <c r="B1064" s="7">
        <v>3</v>
      </c>
      <c r="C1064" s="7" t="s">
        <v>87</v>
      </c>
      <c r="D1064" s="7">
        <v>7</v>
      </c>
      <c r="E1064" s="7" t="s">
        <v>165</v>
      </c>
      <c r="F1064" s="9">
        <v>1.67</v>
      </c>
    </row>
    <row r="1065" spans="1:6" x14ac:dyDescent="0.35">
      <c r="A1065" s="10">
        <v>1313</v>
      </c>
      <c r="B1065" s="7">
        <v>4</v>
      </c>
      <c r="C1065" s="7" t="s">
        <v>143</v>
      </c>
      <c r="D1065" s="7">
        <v>1</v>
      </c>
      <c r="E1065" s="7" t="s">
        <v>167</v>
      </c>
      <c r="F1065" s="9">
        <v>8.3699999999999992</v>
      </c>
    </row>
    <row r="1066" spans="1:6" x14ac:dyDescent="0.35">
      <c r="A1066" s="10">
        <v>1314</v>
      </c>
      <c r="B1066" s="7">
        <v>1</v>
      </c>
      <c r="C1066" s="7" t="s">
        <v>155</v>
      </c>
      <c r="D1066" s="7">
        <v>5</v>
      </c>
      <c r="E1066" s="7" t="s">
        <v>167</v>
      </c>
      <c r="F1066" s="9">
        <v>8.3699999999999992</v>
      </c>
    </row>
    <row r="1067" spans="1:6" x14ac:dyDescent="0.35">
      <c r="A1067" s="10">
        <v>1314</v>
      </c>
      <c r="B1067" s="7">
        <v>2</v>
      </c>
      <c r="C1067" s="7" t="s">
        <v>60</v>
      </c>
      <c r="D1067" s="7">
        <v>1</v>
      </c>
      <c r="E1067" s="7" t="s">
        <v>165</v>
      </c>
      <c r="F1067" s="9">
        <v>1.67</v>
      </c>
    </row>
    <row r="1068" spans="1:6" x14ac:dyDescent="0.35">
      <c r="A1068" s="10">
        <v>1314</v>
      </c>
      <c r="B1068" s="7">
        <v>3</v>
      </c>
      <c r="C1068" s="7" t="s">
        <v>156</v>
      </c>
      <c r="D1068" s="7">
        <v>3</v>
      </c>
      <c r="E1068" s="7" t="s">
        <v>165</v>
      </c>
      <c r="F1068" s="9">
        <v>1.67</v>
      </c>
    </row>
    <row r="1069" spans="1:6" x14ac:dyDescent="0.35">
      <c r="A1069" s="10">
        <v>1314</v>
      </c>
      <c r="B1069" s="7">
        <v>4</v>
      </c>
      <c r="C1069" s="7" t="s">
        <v>136</v>
      </c>
      <c r="D1069" s="7">
        <v>6</v>
      </c>
      <c r="E1069" s="7" t="s">
        <v>177</v>
      </c>
      <c r="F1069" s="9">
        <v>5.0199999999999996</v>
      </c>
    </row>
    <row r="1070" spans="1:6" x14ac:dyDescent="0.35">
      <c r="A1070" s="10">
        <v>1315</v>
      </c>
      <c r="B1070" s="7">
        <v>1</v>
      </c>
      <c r="C1070" s="7" t="s">
        <v>150</v>
      </c>
      <c r="D1070" s="7">
        <v>7</v>
      </c>
      <c r="E1070" s="7" t="s">
        <v>167</v>
      </c>
      <c r="F1070" s="9">
        <v>8.3699999999999992</v>
      </c>
    </row>
    <row r="1071" spans="1:6" x14ac:dyDescent="0.35">
      <c r="A1071" s="10">
        <v>1315</v>
      </c>
      <c r="B1071" s="7">
        <v>2</v>
      </c>
      <c r="C1071" s="7" t="s">
        <v>126</v>
      </c>
      <c r="D1071" s="7">
        <v>1</v>
      </c>
      <c r="E1071" s="7" t="s">
        <v>192</v>
      </c>
      <c r="F1071" s="9">
        <v>2.09</v>
      </c>
    </row>
    <row r="1072" spans="1:6" x14ac:dyDescent="0.35">
      <c r="A1072" s="10">
        <v>1315</v>
      </c>
      <c r="B1072" s="7">
        <v>3</v>
      </c>
      <c r="C1072" s="7" t="s">
        <v>72</v>
      </c>
      <c r="D1072" s="7">
        <v>4</v>
      </c>
      <c r="E1072" s="7" t="s">
        <v>165</v>
      </c>
      <c r="F1072" s="9">
        <v>1.67</v>
      </c>
    </row>
    <row r="1073" spans="1:6" x14ac:dyDescent="0.35">
      <c r="A1073" s="10">
        <v>1315</v>
      </c>
      <c r="B1073" s="7">
        <v>4</v>
      </c>
      <c r="C1073" s="7" t="s">
        <v>157</v>
      </c>
      <c r="D1073" s="7">
        <v>3</v>
      </c>
      <c r="E1073" s="7" t="s">
        <v>165</v>
      </c>
      <c r="F1073" s="9">
        <v>1.67</v>
      </c>
    </row>
    <row r="1074" spans="1:6" x14ac:dyDescent="0.35">
      <c r="A1074" s="10">
        <v>1315</v>
      </c>
      <c r="B1074" s="7">
        <v>5</v>
      </c>
      <c r="C1074" s="7" t="s">
        <v>66</v>
      </c>
      <c r="D1074" s="7">
        <v>6</v>
      </c>
      <c r="E1074" s="7" t="s">
        <v>177</v>
      </c>
      <c r="F1074" s="9">
        <v>5.0199999999999996</v>
      </c>
    </row>
    <row r="1075" spans="1:6" x14ac:dyDescent="0.35">
      <c r="A1075" s="10">
        <v>1316</v>
      </c>
      <c r="B1075" s="7">
        <v>1</v>
      </c>
      <c r="C1075" s="7" t="s">
        <v>83</v>
      </c>
      <c r="D1075" s="7">
        <v>4</v>
      </c>
      <c r="E1075" s="7" t="s">
        <v>197</v>
      </c>
      <c r="F1075" s="9">
        <v>3.76</v>
      </c>
    </row>
    <row r="1076" spans="1:6" x14ac:dyDescent="0.35">
      <c r="A1076" s="10">
        <v>1316</v>
      </c>
      <c r="B1076" s="7">
        <v>2</v>
      </c>
      <c r="C1076" s="7" t="s">
        <v>103</v>
      </c>
      <c r="D1076" s="7">
        <v>1</v>
      </c>
      <c r="E1076" s="7" t="s">
        <v>170</v>
      </c>
      <c r="F1076" s="9">
        <v>6.69</v>
      </c>
    </row>
    <row r="1077" spans="1:6" x14ac:dyDescent="0.35">
      <c r="A1077" s="10">
        <v>1317</v>
      </c>
      <c r="B1077" s="7">
        <v>1</v>
      </c>
      <c r="C1077" s="7" t="s">
        <v>70</v>
      </c>
      <c r="D1077" s="7">
        <v>3</v>
      </c>
      <c r="E1077" s="7" t="s">
        <v>179</v>
      </c>
      <c r="F1077" s="9">
        <v>5.86</v>
      </c>
    </row>
    <row r="1078" spans="1:6" x14ac:dyDescent="0.35">
      <c r="A1078" s="10">
        <v>1317</v>
      </c>
      <c r="B1078" s="7">
        <v>2</v>
      </c>
      <c r="C1078" s="7" t="s">
        <v>84</v>
      </c>
      <c r="D1078" s="7">
        <v>2</v>
      </c>
      <c r="E1078" s="7" t="s">
        <v>192</v>
      </c>
      <c r="F1078" s="9">
        <v>2.09</v>
      </c>
    </row>
    <row r="1079" spans="1:6" x14ac:dyDescent="0.35">
      <c r="A1079" s="10">
        <v>1317</v>
      </c>
      <c r="B1079" s="7">
        <v>3</v>
      </c>
      <c r="C1079" s="7" t="s">
        <v>114</v>
      </c>
      <c r="D1079" s="7">
        <v>6</v>
      </c>
      <c r="E1079" s="7" t="s">
        <v>197</v>
      </c>
      <c r="F1079" s="9">
        <v>3.76</v>
      </c>
    </row>
    <row r="1080" spans="1:6" x14ac:dyDescent="0.35">
      <c r="A1080" s="10">
        <v>1318</v>
      </c>
      <c r="B1080" s="7">
        <v>1</v>
      </c>
      <c r="C1080" s="7" t="s">
        <v>143</v>
      </c>
      <c r="D1080" s="7">
        <v>2</v>
      </c>
      <c r="E1080" s="7" t="s">
        <v>167</v>
      </c>
      <c r="F1080" s="9">
        <v>8.3699999999999992</v>
      </c>
    </row>
    <row r="1081" spans="1:6" x14ac:dyDescent="0.35">
      <c r="A1081" s="10">
        <v>1318</v>
      </c>
      <c r="B1081" s="7">
        <v>2</v>
      </c>
      <c r="C1081" s="7" t="s">
        <v>110</v>
      </c>
      <c r="D1081" s="7">
        <v>7</v>
      </c>
      <c r="E1081" s="7" t="s">
        <v>197</v>
      </c>
      <c r="F1081" s="9">
        <v>3.76</v>
      </c>
    </row>
    <row r="1082" spans="1:6" x14ac:dyDescent="0.35">
      <c r="A1082" s="10">
        <v>1318</v>
      </c>
      <c r="B1082" s="7">
        <v>3</v>
      </c>
      <c r="C1082" s="7" t="s">
        <v>51</v>
      </c>
      <c r="D1082" s="7">
        <v>5</v>
      </c>
      <c r="E1082" s="7" t="s">
        <v>167</v>
      </c>
      <c r="F1082" s="9">
        <v>8.3699999999999992</v>
      </c>
    </row>
    <row r="1083" spans="1:6" x14ac:dyDescent="0.35">
      <c r="A1083" s="10">
        <v>1318</v>
      </c>
      <c r="B1083" s="7">
        <v>4</v>
      </c>
      <c r="C1083" s="7" t="s">
        <v>131</v>
      </c>
      <c r="D1083" s="7">
        <v>2</v>
      </c>
      <c r="E1083" s="7" t="s">
        <v>167</v>
      </c>
      <c r="F1083" s="9">
        <v>8.3699999999999992</v>
      </c>
    </row>
    <row r="1084" spans="1:6" x14ac:dyDescent="0.35">
      <c r="A1084" s="10">
        <v>1318</v>
      </c>
      <c r="B1084" s="7">
        <v>5</v>
      </c>
      <c r="C1084" s="7" t="s">
        <v>77</v>
      </c>
      <c r="D1084" s="7">
        <v>5</v>
      </c>
      <c r="E1084" s="7" t="s">
        <v>165</v>
      </c>
      <c r="F1084" s="9">
        <v>1.67</v>
      </c>
    </row>
    <row r="1085" spans="1:6" x14ac:dyDescent="0.35">
      <c r="A1085" s="10">
        <v>1319</v>
      </c>
      <c r="B1085" s="7">
        <v>1</v>
      </c>
      <c r="C1085" s="7" t="s">
        <v>146</v>
      </c>
      <c r="D1085" s="7">
        <v>4</v>
      </c>
      <c r="E1085" s="7" t="s">
        <v>175</v>
      </c>
      <c r="F1085" s="9">
        <v>4.18</v>
      </c>
    </row>
    <row r="1086" spans="1:6" x14ac:dyDescent="0.35">
      <c r="A1086" s="10">
        <v>1319</v>
      </c>
      <c r="B1086" s="7">
        <v>2</v>
      </c>
      <c r="C1086" s="7" t="s">
        <v>91</v>
      </c>
      <c r="D1086" s="7">
        <v>3</v>
      </c>
      <c r="E1086" s="7" t="s">
        <v>170</v>
      </c>
      <c r="F1086" s="9">
        <v>6.69</v>
      </c>
    </row>
    <row r="1087" spans="1:6" x14ac:dyDescent="0.35">
      <c r="A1087" s="10">
        <v>1319</v>
      </c>
      <c r="B1087" s="7">
        <v>3</v>
      </c>
      <c r="C1087" s="7" t="s">
        <v>66</v>
      </c>
      <c r="D1087" s="7">
        <v>3</v>
      </c>
      <c r="E1087" s="7" t="s">
        <v>177</v>
      </c>
      <c r="F1087" s="9">
        <v>5.0199999999999996</v>
      </c>
    </row>
    <row r="1088" spans="1:6" x14ac:dyDescent="0.35">
      <c r="A1088" s="10">
        <v>1319</v>
      </c>
      <c r="B1088" s="7">
        <v>4</v>
      </c>
      <c r="C1088" s="7" t="s">
        <v>157</v>
      </c>
      <c r="D1088" s="7">
        <v>5</v>
      </c>
      <c r="E1088" s="7" t="s">
        <v>165</v>
      </c>
      <c r="F1088" s="9">
        <v>1.67</v>
      </c>
    </row>
    <row r="1089" spans="1:6" x14ac:dyDescent="0.35">
      <c r="A1089" s="10">
        <v>1319</v>
      </c>
      <c r="B1089" s="7">
        <v>5</v>
      </c>
      <c r="C1089" s="7" t="s">
        <v>137</v>
      </c>
      <c r="D1089" s="7">
        <v>3</v>
      </c>
      <c r="E1089" s="7" t="s">
        <v>165</v>
      </c>
      <c r="F1089" s="9">
        <v>1.67</v>
      </c>
    </row>
    <row r="1090" spans="1:6" x14ac:dyDescent="0.35">
      <c r="A1090" s="10">
        <v>1320</v>
      </c>
      <c r="B1090" s="7">
        <v>1</v>
      </c>
      <c r="C1090" s="7" t="s">
        <v>86</v>
      </c>
      <c r="D1090" s="7">
        <v>5</v>
      </c>
      <c r="E1090" s="7" t="s">
        <v>177</v>
      </c>
      <c r="F1090" s="9">
        <v>5.0199999999999996</v>
      </c>
    </row>
    <row r="1091" spans="1:6" x14ac:dyDescent="0.35">
      <c r="A1091" s="10">
        <v>1320</v>
      </c>
      <c r="B1091" s="7">
        <v>2</v>
      </c>
      <c r="C1091" s="7" t="s">
        <v>77</v>
      </c>
      <c r="D1091" s="7">
        <v>6</v>
      </c>
      <c r="E1091" s="7" t="s">
        <v>165</v>
      </c>
      <c r="F1091" s="9">
        <v>1.67</v>
      </c>
    </row>
    <row r="1092" spans="1:6" x14ac:dyDescent="0.35">
      <c r="A1092" s="10">
        <v>1321</v>
      </c>
      <c r="B1092" s="7">
        <v>1</v>
      </c>
      <c r="C1092" s="7" t="s">
        <v>139</v>
      </c>
      <c r="D1092" s="7">
        <v>4</v>
      </c>
      <c r="E1092" s="7" t="s">
        <v>177</v>
      </c>
      <c r="F1092" s="9">
        <v>5.0199999999999996</v>
      </c>
    </row>
    <row r="1093" spans="1:6" x14ac:dyDescent="0.35">
      <c r="A1093" s="10">
        <v>1321</v>
      </c>
      <c r="B1093" s="7">
        <v>2</v>
      </c>
      <c r="C1093" s="7" t="s">
        <v>79</v>
      </c>
      <c r="D1093" s="7">
        <v>4</v>
      </c>
      <c r="E1093" s="7" t="s">
        <v>192</v>
      </c>
      <c r="F1093" s="9">
        <v>2.09</v>
      </c>
    </row>
    <row r="1094" spans="1:6" x14ac:dyDescent="0.35">
      <c r="A1094" s="10">
        <v>1321</v>
      </c>
      <c r="B1094" s="7">
        <v>3</v>
      </c>
      <c r="C1094" s="7" t="s">
        <v>156</v>
      </c>
      <c r="D1094" s="7">
        <v>1</v>
      </c>
      <c r="E1094" s="7" t="s">
        <v>165</v>
      </c>
      <c r="F1094" s="9">
        <v>1.67</v>
      </c>
    </row>
    <row r="1095" spans="1:6" x14ac:dyDescent="0.35">
      <c r="A1095" s="10">
        <v>1321</v>
      </c>
      <c r="B1095" s="7">
        <v>4</v>
      </c>
      <c r="C1095" s="7" t="s">
        <v>141</v>
      </c>
      <c r="D1095" s="7">
        <v>7</v>
      </c>
      <c r="E1095" s="7" t="s">
        <v>170</v>
      </c>
      <c r="F1095" s="9">
        <v>6.69</v>
      </c>
    </row>
    <row r="1096" spans="1:6" x14ac:dyDescent="0.35">
      <c r="A1096" s="10">
        <v>1321</v>
      </c>
      <c r="B1096" s="7">
        <v>5</v>
      </c>
      <c r="C1096" s="7" t="s">
        <v>80</v>
      </c>
      <c r="D1096" s="7">
        <v>3</v>
      </c>
      <c r="E1096" s="7" t="s">
        <v>165</v>
      </c>
      <c r="F1096" s="9">
        <v>1.67</v>
      </c>
    </row>
    <row r="1097" spans="1:6" x14ac:dyDescent="0.35">
      <c r="A1097" s="10">
        <v>1322</v>
      </c>
      <c r="B1097" s="7">
        <v>1</v>
      </c>
      <c r="C1097" s="7" t="s">
        <v>76</v>
      </c>
      <c r="D1097" s="7">
        <v>6</v>
      </c>
      <c r="E1097" s="7" t="s">
        <v>179</v>
      </c>
      <c r="F1097" s="9">
        <v>5.86</v>
      </c>
    </row>
    <row r="1098" spans="1:6" x14ac:dyDescent="0.35">
      <c r="A1098" s="10">
        <v>1322</v>
      </c>
      <c r="B1098" s="7">
        <v>2</v>
      </c>
      <c r="C1098" s="7" t="s">
        <v>95</v>
      </c>
      <c r="D1098" s="7">
        <v>3</v>
      </c>
      <c r="E1098" s="7" t="s">
        <v>197</v>
      </c>
      <c r="F1098" s="9">
        <v>3.76</v>
      </c>
    </row>
    <row r="1099" spans="1:6" x14ac:dyDescent="0.35">
      <c r="A1099" s="10">
        <v>1322</v>
      </c>
      <c r="B1099" s="7">
        <v>3</v>
      </c>
      <c r="C1099" s="7" t="s">
        <v>131</v>
      </c>
      <c r="D1099" s="7">
        <v>6</v>
      </c>
      <c r="E1099" s="7" t="s">
        <v>167</v>
      </c>
      <c r="F1099" s="9">
        <v>8.3699999999999992</v>
      </c>
    </row>
    <row r="1100" spans="1:6" x14ac:dyDescent="0.35">
      <c r="A1100" s="10">
        <v>1323</v>
      </c>
      <c r="B1100" s="7">
        <v>1</v>
      </c>
      <c r="C1100" s="7" t="s">
        <v>106</v>
      </c>
      <c r="D1100" s="7">
        <v>1</v>
      </c>
      <c r="E1100" s="7" t="s">
        <v>167</v>
      </c>
      <c r="F1100" s="9">
        <v>8.3699999999999992</v>
      </c>
    </row>
    <row r="1101" spans="1:6" x14ac:dyDescent="0.35">
      <c r="A1101" s="10">
        <v>1323</v>
      </c>
      <c r="B1101" s="7">
        <v>2</v>
      </c>
      <c r="C1101" s="7" t="s">
        <v>97</v>
      </c>
      <c r="D1101" s="7">
        <v>6</v>
      </c>
      <c r="E1101" s="7" t="s">
        <v>165</v>
      </c>
      <c r="F1101" s="9">
        <v>1.67</v>
      </c>
    </row>
    <row r="1102" spans="1:6" x14ac:dyDescent="0.35">
      <c r="A1102" s="10">
        <v>1323</v>
      </c>
      <c r="B1102" s="7">
        <v>3</v>
      </c>
      <c r="C1102" s="7" t="s">
        <v>100</v>
      </c>
      <c r="D1102" s="7">
        <v>2</v>
      </c>
      <c r="E1102" s="7" t="s">
        <v>170</v>
      </c>
      <c r="F1102" s="9">
        <v>6.69</v>
      </c>
    </row>
    <row r="1103" spans="1:6" x14ac:dyDescent="0.35">
      <c r="A1103" s="10">
        <v>1323</v>
      </c>
      <c r="B1103" s="7">
        <v>4</v>
      </c>
      <c r="C1103" s="7" t="s">
        <v>74</v>
      </c>
      <c r="D1103" s="7">
        <v>5</v>
      </c>
      <c r="E1103" s="7" t="s">
        <v>165</v>
      </c>
      <c r="F1103" s="9">
        <v>1.67</v>
      </c>
    </row>
    <row r="1104" spans="1:6" x14ac:dyDescent="0.35">
      <c r="A1104" s="10">
        <v>1324</v>
      </c>
      <c r="B1104" s="7">
        <v>1</v>
      </c>
      <c r="C1104" s="7" t="s">
        <v>79</v>
      </c>
      <c r="D1104" s="7">
        <v>3</v>
      </c>
      <c r="E1104" s="7" t="s">
        <v>192</v>
      </c>
      <c r="F1104" s="9">
        <v>2.09</v>
      </c>
    </row>
    <row r="1105" spans="1:6" x14ac:dyDescent="0.35">
      <c r="A1105" s="10">
        <v>1324</v>
      </c>
      <c r="B1105" s="7">
        <v>2</v>
      </c>
      <c r="C1105" s="7" t="s">
        <v>107</v>
      </c>
      <c r="D1105" s="7">
        <v>3</v>
      </c>
      <c r="E1105" s="7" t="s">
        <v>165</v>
      </c>
      <c r="F1105" s="9">
        <v>1.67</v>
      </c>
    </row>
    <row r="1106" spans="1:6" x14ac:dyDescent="0.35">
      <c r="A1106" s="10">
        <v>1324</v>
      </c>
      <c r="B1106" s="7">
        <v>3</v>
      </c>
      <c r="C1106" s="7" t="s">
        <v>133</v>
      </c>
      <c r="D1106" s="7">
        <v>1</v>
      </c>
      <c r="E1106" s="7" t="s">
        <v>175</v>
      </c>
      <c r="F1106" s="9">
        <v>4.18</v>
      </c>
    </row>
    <row r="1107" spans="1:6" x14ac:dyDescent="0.35">
      <c r="A1107" s="10">
        <v>1325</v>
      </c>
      <c r="B1107" s="7">
        <v>1</v>
      </c>
      <c r="C1107" s="7" t="s">
        <v>87</v>
      </c>
      <c r="D1107" s="7">
        <v>1</v>
      </c>
      <c r="E1107" s="7" t="s">
        <v>165</v>
      </c>
      <c r="F1107" s="9">
        <v>1.67</v>
      </c>
    </row>
    <row r="1108" spans="1:6" x14ac:dyDescent="0.35">
      <c r="A1108" s="10">
        <v>1325</v>
      </c>
      <c r="B1108" s="7">
        <v>2</v>
      </c>
      <c r="C1108" s="7" t="s">
        <v>102</v>
      </c>
      <c r="D1108" s="7">
        <v>1</v>
      </c>
      <c r="E1108" s="7" t="s">
        <v>192</v>
      </c>
      <c r="F1108" s="9">
        <v>2.09</v>
      </c>
    </row>
    <row r="1109" spans="1:6" x14ac:dyDescent="0.35">
      <c r="A1109" s="10">
        <v>1325</v>
      </c>
      <c r="B1109" s="7">
        <v>3</v>
      </c>
      <c r="C1109" s="7" t="s">
        <v>101</v>
      </c>
      <c r="D1109" s="7">
        <v>2</v>
      </c>
      <c r="E1109" s="7" t="s">
        <v>179</v>
      </c>
      <c r="F1109" s="9">
        <v>5.86</v>
      </c>
    </row>
    <row r="1110" spans="1:6" x14ac:dyDescent="0.35">
      <c r="A1110" s="10">
        <v>1325</v>
      </c>
      <c r="B1110" s="7">
        <v>4</v>
      </c>
      <c r="C1110" s="7" t="s">
        <v>93</v>
      </c>
      <c r="D1110" s="7">
        <v>6</v>
      </c>
      <c r="E1110" s="7" t="s">
        <v>175</v>
      </c>
      <c r="F1110" s="9">
        <v>4.18</v>
      </c>
    </row>
    <row r="1111" spans="1:6" x14ac:dyDescent="0.35">
      <c r="A1111" s="10">
        <v>1325</v>
      </c>
      <c r="B1111" s="7">
        <v>5</v>
      </c>
      <c r="C1111" s="7" t="s">
        <v>64</v>
      </c>
      <c r="D1111" s="7">
        <v>6</v>
      </c>
      <c r="E1111" s="7" t="s">
        <v>167</v>
      </c>
      <c r="F1111" s="9">
        <v>8.3699999999999992</v>
      </c>
    </row>
    <row r="1112" spans="1:6" x14ac:dyDescent="0.35">
      <c r="A1112" s="10">
        <v>1326</v>
      </c>
      <c r="B1112" s="7">
        <v>1</v>
      </c>
      <c r="C1112" s="7" t="s">
        <v>48</v>
      </c>
      <c r="D1112" s="7">
        <v>1</v>
      </c>
      <c r="E1112" s="7" t="s">
        <v>165</v>
      </c>
      <c r="F1112" s="9">
        <v>1.67</v>
      </c>
    </row>
    <row r="1113" spans="1:6" x14ac:dyDescent="0.35">
      <c r="A1113" s="10">
        <v>1326</v>
      </c>
      <c r="B1113" s="7">
        <v>2</v>
      </c>
      <c r="C1113" s="7" t="s">
        <v>71</v>
      </c>
      <c r="D1113" s="7">
        <v>1</v>
      </c>
      <c r="E1113" s="7" t="s">
        <v>165</v>
      </c>
      <c r="F1113" s="9">
        <v>1.67</v>
      </c>
    </row>
    <row r="1114" spans="1:6" x14ac:dyDescent="0.35">
      <c r="A1114" s="10">
        <v>1326</v>
      </c>
      <c r="B1114" s="7">
        <v>3</v>
      </c>
      <c r="C1114" s="7" t="s">
        <v>51</v>
      </c>
      <c r="D1114" s="7">
        <v>7</v>
      </c>
      <c r="E1114" s="7" t="s">
        <v>167</v>
      </c>
      <c r="F1114" s="9">
        <v>8.3699999999999992</v>
      </c>
    </row>
    <row r="1115" spans="1:6" x14ac:dyDescent="0.35">
      <c r="A1115" s="10">
        <v>1326</v>
      </c>
      <c r="B1115" s="7">
        <v>4</v>
      </c>
      <c r="C1115" s="7" t="s">
        <v>76</v>
      </c>
      <c r="D1115" s="7">
        <v>3</v>
      </c>
      <c r="E1115" s="7" t="s">
        <v>179</v>
      </c>
      <c r="F1115" s="9">
        <v>5.86</v>
      </c>
    </row>
    <row r="1116" spans="1:6" x14ac:dyDescent="0.35">
      <c r="A1116" s="10">
        <v>1327</v>
      </c>
      <c r="B1116" s="7">
        <v>1</v>
      </c>
      <c r="C1116" s="7" t="s">
        <v>65</v>
      </c>
      <c r="D1116" s="7">
        <v>1</v>
      </c>
      <c r="E1116" s="7" t="s">
        <v>175</v>
      </c>
      <c r="F1116" s="9">
        <v>4.18</v>
      </c>
    </row>
    <row r="1117" spans="1:6" x14ac:dyDescent="0.35">
      <c r="A1117" s="10">
        <v>1327</v>
      </c>
      <c r="B1117" s="7">
        <v>2</v>
      </c>
      <c r="C1117" s="7" t="s">
        <v>149</v>
      </c>
      <c r="D1117" s="7">
        <v>7</v>
      </c>
      <c r="E1117" s="7" t="s">
        <v>175</v>
      </c>
      <c r="F1117" s="9">
        <v>4.18</v>
      </c>
    </row>
    <row r="1118" spans="1:6" x14ac:dyDescent="0.35">
      <c r="A1118" s="10">
        <v>1327</v>
      </c>
      <c r="B1118" s="7">
        <v>3</v>
      </c>
      <c r="C1118" s="7" t="s">
        <v>94</v>
      </c>
      <c r="D1118" s="7">
        <v>2</v>
      </c>
      <c r="E1118" s="7" t="s">
        <v>170</v>
      </c>
      <c r="F1118" s="9">
        <v>6.69</v>
      </c>
    </row>
    <row r="1119" spans="1:6" x14ac:dyDescent="0.35">
      <c r="A1119" s="10">
        <v>1328</v>
      </c>
      <c r="B1119" s="7">
        <v>1</v>
      </c>
      <c r="C1119" s="7" t="s">
        <v>71</v>
      </c>
      <c r="D1119" s="7">
        <v>2</v>
      </c>
      <c r="E1119" s="7" t="s">
        <v>165</v>
      </c>
      <c r="F1119" s="9">
        <v>1.67</v>
      </c>
    </row>
    <row r="1120" spans="1:6" x14ac:dyDescent="0.35">
      <c r="A1120" s="10">
        <v>1328</v>
      </c>
      <c r="B1120" s="7">
        <v>2</v>
      </c>
      <c r="C1120" s="7" t="s">
        <v>135</v>
      </c>
      <c r="D1120" s="7">
        <v>2</v>
      </c>
      <c r="E1120" s="7" t="s">
        <v>167</v>
      </c>
      <c r="F1120" s="9">
        <v>8.3699999999999992</v>
      </c>
    </row>
    <row r="1121" spans="1:6" x14ac:dyDescent="0.35">
      <c r="A1121" s="10">
        <v>1328</v>
      </c>
      <c r="B1121" s="7">
        <v>3</v>
      </c>
      <c r="C1121" s="7" t="s">
        <v>157</v>
      </c>
      <c r="D1121" s="7">
        <v>3</v>
      </c>
      <c r="E1121" s="7" t="s">
        <v>165</v>
      </c>
      <c r="F1121" s="9">
        <v>1.67</v>
      </c>
    </row>
    <row r="1122" spans="1:6" x14ac:dyDescent="0.35">
      <c r="A1122" s="10">
        <v>1329</v>
      </c>
      <c r="B1122" s="7">
        <v>1</v>
      </c>
      <c r="C1122" s="7" t="s">
        <v>99</v>
      </c>
      <c r="D1122" s="7">
        <v>2</v>
      </c>
      <c r="E1122" s="7" t="s">
        <v>165</v>
      </c>
      <c r="F1122" s="9">
        <v>1.67</v>
      </c>
    </row>
    <row r="1123" spans="1:6" x14ac:dyDescent="0.35">
      <c r="A1123" s="10">
        <v>1329</v>
      </c>
      <c r="B1123" s="7">
        <v>2</v>
      </c>
      <c r="C1123" s="7" t="s">
        <v>138</v>
      </c>
      <c r="D1123" s="7">
        <v>1</v>
      </c>
      <c r="E1123" s="7" t="s">
        <v>175</v>
      </c>
      <c r="F1123" s="9">
        <v>4.18</v>
      </c>
    </row>
    <row r="1124" spans="1:6" x14ac:dyDescent="0.35">
      <c r="A1124" s="10">
        <v>1329</v>
      </c>
      <c r="B1124" s="7">
        <v>3</v>
      </c>
      <c r="C1124" s="7" t="s">
        <v>125</v>
      </c>
      <c r="D1124" s="7">
        <v>4</v>
      </c>
      <c r="E1124" s="7" t="s">
        <v>170</v>
      </c>
      <c r="F1124" s="9">
        <v>6.69</v>
      </c>
    </row>
    <row r="1125" spans="1:6" x14ac:dyDescent="0.35">
      <c r="A1125" s="10">
        <v>1330</v>
      </c>
      <c r="B1125" s="7">
        <v>1</v>
      </c>
      <c r="C1125" s="7" t="s">
        <v>128</v>
      </c>
      <c r="D1125" s="7">
        <v>1</v>
      </c>
      <c r="E1125" s="7" t="s">
        <v>177</v>
      </c>
      <c r="F1125" s="9">
        <v>5.0199999999999996</v>
      </c>
    </row>
    <row r="1126" spans="1:6" x14ac:dyDescent="0.35">
      <c r="A1126" s="10">
        <v>1330</v>
      </c>
      <c r="B1126" s="7">
        <v>2</v>
      </c>
      <c r="C1126" s="7" t="s">
        <v>66</v>
      </c>
      <c r="D1126" s="7">
        <v>6</v>
      </c>
      <c r="E1126" s="7" t="s">
        <v>177</v>
      </c>
      <c r="F1126" s="9">
        <v>5.0199999999999996</v>
      </c>
    </row>
    <row r="1127" spans="1:6" x14ac:dyDescent="0.35">
      <c r="A1127" s="10">
        <v>1330</v>
      </c>
      <c r="B1127" s="7">
        <v>3</v>
      </c>
      <c r="C1127" s="7" t="s">
        <v>84</v>
      </c>
      <c r="D1127" s="7">
        <v>3</v>
      </c>
      <c r="E1127" s="7" t="s">
        <v>192</v>
      </c>
      <c r="F1127" s="9">
        <v>2.09</v>
      </c>
    </row>
    <row r="1128" spans="1:6" x14ac:dyDescent="0.35">
      <c r="A1128" s="10">
        <v>1330</v>
      </c>
      <c r="B1128" s="7">
        <v>4</v>
      </c>
      <c r="C1128" s="7" t="s">
        <v>135</v>
      </c>
      <c r="D1128" s="7">
        <v>2</v>
      </c>
      <c r="E1128" s="7" t="s">
        <v>167</v>
      </c>
      <c r="F1128" s="9">
        <v>8.3699999999999992</v>
      </c>
    </row>
    <row r="1129" spans="1:6" x14ac:dyDescent="0.35">
      <c r="A1129" s="10">
        <v>1331</v>
      </c>
      <c r="B1129" s="7">
        <v>1</v>
      </c>
      <c r="C1129" s="7" t="s">
        <v>95</v>
      </c>
      <c r="D1129" s="7">
        <v>4</v>
      </c>
      <c r="E1129" s="7" t="s">
        <v>197</v>
      </c>
      <c r="F1129" s="9">
        <v>3.76</v>
      </c>
    </row>
    <row r="1130" spans="1:6" x14ac:dyDescent="0.35">
      <c r="A1130" s="10">
        <v>1331</v>
      </c>
      <c r="B1130" s="7">
        <v>2</v>
      </c>
      <c r="C1130" s="7" t="s">
        <v>154</v>
      </c>
      <c r="D1130" s="7">
        <v>3</v>
      </c>
      <c r="E1130" s="7" t="s">
        <v>167</v>
      </c>
      <c r="F1130" s="9">
        <v>8.3699999999999992</v>
      </c>
    </row>
    <row r="1131" spans="1:6" x14ac:dyDescent="0.35">
      <c r="A1131" s="10">
        <v>1331</v>
      </c>
      <c r="B1131" s="7">
        <v>3</v>
      </c>
      <c r="C1131" s="7" t="s">
        <v>111</v>
      </c>
      <c r="D1131" s="7">
        <v>3</v>
      </c>
      <c r="E1131" s="7" t="s">
        <v>179</v>
      </c>
      <c r="F1131" s="9">
        <v>5.86</v>
      </c>
    </row>
    <row r="1132" spans="1:6" x14ac:dyDescent="0.35">
      <c r="A1132" s="10">
        <v>1332</v>
      </c>
      <c r="B1132" s="7">
        <v>1</v>
      </c>
      <c r="C1132" s="7" t="s">
        <v>139</v>
      </c>
      <c r="D1132" s="7">
        <v>2</v>
      </c>
      <c r="E1132" s="7" t="s">
        <v>177</v>
      </c>
      <c r="F1132" s="9">
        <v>5.0199999999999996</v>
      </c>
    </row>
    <row r="1133" spans="1:6" x14ac:dyDescent="0.35">
      <c r="A1133" s="10">
        <v>1332</v>
      </c>
      <c r="B1133" s="7">
        <v>2</v>
      </c>
      <c r="C1133" s="7" t="s">
        <v>99</v>
      </c>
      <c r="D1133" s="7">
        <v>6</v>
      </c>
      <c r="E1133" s="7" t="s">
        <v>165</v>
      </c>
      <c r="F1133" s="9">
        <v>1.67</v>
      </c>
    </row>
    <row r="1134" spans="1:6" x14ac:dyDescent="0.35">
      <c r="A1134" s="10">
        <v>1332</v>
      </c>
      <c r="B1134" s="7">
        <v>3</v>
      </c>
      <c r="C1134" s="7" t="s">
        <v>133</v>
      </c>
      <c r="D1134" s="7">
        <v>7</v>
      </c>
      <c r="E1134" s="7" t="s">
        <v>175</v>
      </c>
      <c r="F1134" s="9">
        <v>4.18</v>
      </c>
    </row>
    <row r="1135" spans="1:6" x14ac:dyDescent="0.35">
      <c r="A1135" s="10">
        <v>1333</v>
      </c>
      <c r="B1135" s="7">
        <v>1</v>
      </c>
      <c r="C1135" s="7" t="s">
        <v>148</v>
      </c>
      <c r="D1135" s="7">
        <v>2</v>
      </c>
      <c r="E1135" s="7" t="s">
        <v>192</v>
      </c>
      <c r="F1135" s="9">
        <v>2.09</v>
      </c>
    </row>
    <row r="1136" spans="1:6" x14ac:dyDescent="0.35">
      <c r="A1136" s="10">
        <v>1333</v>
      </c>
      <c r="B1136" s="7">
        <v>2</v>
      </c>
      <c r="C1136" s="7" t="s">
        <v>100</v>
      </c>
      <c r="D1136" s="7">
        <v>3</v>
      </c>
      <c r="E1136" s="7" t="s">
        <v>170</v>
      </c>
      <c r="F1136" s="9">
        <v>6.69</v>
      </c>
    </row>
    <row r="1137" spans="1:6" x14ac:dyDescent="0.35">
      <c r="A1137" s="10">
        <v>1333</v>
      </c>
      <c r="B1137" s="7">
        <v>3</v>
      </c>
      <c r="C1137" s="7" t="s">
        <v>157</v>
      </c>
      <c r="D1137" s="7">
        <v>1</v>
      </c>
      <c r="E1137" s="7" t="s">
        <v>165</v>
      </c>
      <c r="F1137" s="9">
        <v>1.67</v>
      </c>
    </row>
    <row r="1138" spans="1:6" x14ac:dyDescent="0.35">
      <c r="A1138" s="10">
        <v>1333</v>
      </c>
      <c r="B1138" s="7">
        <v>4</v>
      </c>
      <c r="C1138" s="7" t="s">
        <v>133</v>
      </c>
      <c r="D1138" s="7">
        <v>2</v>
      </c>
      <c r="E1138" s="7" t="s">
        <v>175</v>
      </c>
      <c r="F1138" s="9">
        <v>4.18</v>
      </c>
    </row>
    <row r="1139" spans="1:6" x14ac:dyDescent="0.35">
      <c r="A1139" s="10">
        <v>1334</v>
      </c>
      <c r="B1139" s="7">
        <v>1</v>
      </c>
      <c r="C1139" s="7" t="s">
        <v>85</v>
      </c>
      <c r="D1139" s="7">
        <v>4</v>
      </c>
      <c r="E1139" s="7" t="s">
        <v>165</v>
      </c>
      <c r="F1139" s="9">
        <v>1.67</v>
      </c>
    </row>
    <row r="1140" spans="1:6" x14ac:dyDescent="0.35">
      <c r="A1140" s="10">
        <v>1334</v>
      </c>
      <c r="B1140" s="7">
        <v>2</v>
      </c>
      <c r="C1140" s="7" t="s">
        <v>123</v>
      </c>
      <c r="D1140" s="7">
        <v>2</v>
      </c>
      <c r="E1140" s="7" t="s">
        <v>179</v>
      </c>
      <c r="F1140" s="9">
        <v>5.86</v>
      </c>
    </row>
    <row r="1141" spans="1:6" x14ac:dyDescent="0.35">
      <c r="A1141" s="10">
        <v>1334</v>
      </c>
      <c r="B1141" s="7">
        <v>3</v>
      </c>
      <c r="C1141" s="7" t="s">
        <v>79</v>
      </c>
      <c r="D1141" s="7">
        <v>7</v>
      </c>
      <c r="E1141" s="7" t="s">
        <v>192</v>
      </c>
      <c r="F1141" s="9">
        <v>2.09</v>
      </c>
    </row>
    <row r="1142" spans="1:6" x14ac:dyDescent="0.35">
      <c r="A1142" s="10">
        <v>1334</v>
      </c>
      <c r="B1142" s="7">
        <v>4</v>
      </c>
      <c r="C1142" s="7" t="s">
        <v>97</v>
      </c>
      <c r="D1142" s="7">
        <v>7</v>
      </c>
      <c r="E1142" s="7" t="s">
        <v>165</v>
      </c>
      <c r="F1142" s="9">
        <v>1.67</v>
      </c>
    </row>
    <row r="1143" spans="1:6" x14ac:dyDescent="0.35">
      <c r="A1143" s="10">
        <v>1335</v>
      </c>
      <c r="B1143" s="7">
        <v>1</v>
      </c>
      <c r="C1143" s="7" t="s">
        <v>157</v>
      </c>
      <c r="D1143" s="7">
        <v>7</v>
      </c>
      <c r="E1143" s="7" t="s">
        <v>165</v>
      </c>
      <c r="F1143" s="9">
        <v>1.67</v>
      </c>
    </row>
    <row r="1144" spans="1:6" x14ac:dyDescent="0.35">
      <c r="A1144" s="10">
        <v>1335</v>
      </c>
      <c r="B1144" s="7">
        <v>2</v>
      </c>
      <c r="C1144" s="7" t="s">
        <v>106</v>
      </c>
      <c r="D1144" s="7">
        <v>5</v>
      </c>
      <c r="E1144" s="7" t="s">
        <v>167</v>
      </c>
      <c r="F1144" s="9">
        <v>8.3699999999999992</v>
      </c>
    </row>
    <row r="1145" spans="1:6" x14ac:dyDescent="0.35">
      <c r="A1145" s="10">
        <v>1335</v>
      </c>
      <c r="B1145" s="7">
        <v>3</v>
      </c>
      <c r="C1145" s="7" t="s">
        <v>99</v>
      </c>
      <c r="D1145" s="7">
        <v>6</v>
      </c>
      <c r="E1145" s="7" t="s">
        <v>165</v>
      </c>
      <c r="F1145" s="9">
        <v>1.67</v>
      </c>
    </row>
    <row r="1146" spans="1:6" x14ac:dyDescent="0.35">
      <c r="A1146" s="10">
        <v>1336</v>
      </c>
      <c r="B1146" s="7">
        <v>1</v>
      </c>
      <c r="C1146" s="7" t="s">
        <v>122</v>
      </c>
      <c r="D1146" s="7">
        <v>3</v>
      </c>
      <c r="E1146" s="7" t="s">
        <v>167</v>
      </c>
      <c r="F1146" s="9">
        <v>8.3699999999999992</v>
      </c>
    </row>
    <row r="1147" spans="1:6" x14ac:dyDescent="0.35">
      <c r="A1147" s="10">
        <v>1336</v>
      </c>
      <c r="B1147" s="7">
        <v>2</v>
      </c>
      <c r="C1147" s="7" t="s">
        <v>140</v>
      </c>
      <c r="D1147" s="7">
        <v>4</v>
      </c>
      <c r="E1147" s="7" t="s">
        <v>167</v>
      </c>
      <c r="F1147" s="9">
        <v>8.3699999999999992</v>
      </c>
    </row>
    <row r="1148" spans="1:6" x14ac:dyDescent="0.35">
      <c r="A1148" s="10">
        <v>1336</v>
      </c>
      <c r="B1148" s="7">
        <v>3</v>
      </c>
      <c r="C1148" s="7" t="s">
        <v>107</v>
      </c>
      <c r="D1148" s="7">
        <v>4</v>
      </c>
      <c r="E1148" s="7" t="s">
        <v>165</v>
      </c>
      <c r="F1148" s="9">
        <v>1.67</v>
      </c>
    </row>
    <row r="1149" spans="1:6" x14ac:dyDescent="0.35">
      <c r="A1149" s="10">
        <v>1336</v>
      </c>
      <c r="B1149" s="7">
        <v>4</v>
      </c>
      <c r="C1149" s="7" t="s">
        <v>153</v>
      </c>
      <c r="D1149" s="7">
        <v>3</v>
      </c>
      <c r="E1149" s="7" t="s">
        <v>179</v>
      </c>
      <c r="F1149" s="9">
        <v>5.86</v>
      </c>
    </row>
    <row r="1150" spans="1:6" x14ac:dyDescent="0.35">
      <c r="A1150" s="10">
        <v>1337</v>
      </c>
      <c r="B1150" s="7">
        <v>1</v>
      </c>
      <c r="C1150" s="7" t="s">
        <v>120</v>
      </c>
      <c r="D1150" s="7">
        <v>5</v>
      </c>
      <c r="E1150" s="7" t="s">
        <v>197</v>
      </c>
      <c r="F1150" s="9">
        <v>3.76</v>
      </c>
    </row>
    <row r="1151" spans="1:6" x14ac:dyDescent="0.35">
      <c r="A1151" s="10">
        <v>1337</v>
      </c>
      <c r="B1151" s="7">
        <v>2</v>
      </c>
      <c r="C1151" s="7" t="s">
        <v>113</v>
      </c>
      <c r="D1151" s="7">
        <v>1</v>
      </c>
      <c r="E1151" s="7" t="s">
        <v>177</v>
      </c>
      <c r="F1151" s="9">
        <v>5.0199999999999996</v>
      </c>
    </row>
    <row r="1152" spans="1:6" x14ac:dyDescent="0.35">
      <c r="A1152" s="10">
        <v>1337</v>
      </c>
      <c r="B1152" s="7">
        <v>3</v>
      </c>
      <c r="C1152" s="7" t="s">
        <v>73</v>
      </c>
      <c r="D1152" s="7">
        <v>7</v>
      </c>
      <c r="E1152" s="7" t="s">
        <v>165</v>
      </c>
      <c r="F1152" s="9">
        <v>1.67</v>
      </c>
    </row>
    <row r="1153" spans="1:6" x14ac:dyDescent="0.35">
      <c r="A1153" s="10">
        <v>1337</v>
      </c>
      <c r="B1153" s="7">
        <v>4</v>
      </c>
      <c r="C1153" s="7" t="s">
        <v>72</v>
      </c>
      <c r="D1153" s="7">
        <v>2</v>
      </c>
      <c r="E1153" s="7" t="s">
        <v>165</v>
      </c>
      <c r="F1153" s="9">
        <v>1.67</v>
      </c>
    </row>
    <row r="1154" spans="1:6" x14ac:dyDescent="0.35">
      <c r="A1154" s="10">
        <v>1338</v>
      </c>
      <c r="B1154" s="7">
        <v>1</v>
      </c>
      <c r="C1154" s="7" t="s">
        <v>83</v>
      </c>
      <c r="D1154" s="7">
        <v>1</v>
      </c>
      <c r="E1154" s="7" t="s">
        <v>197</v>
      </c>
      <c r="F1154" s="9">
        <v>3.76</v>
      </c>
    </row>
    <row r="1155" spans="1:6" x14ac:dyDescent="0.35">
      <c r="A1155" s="10">
        <v>1338</v>
      </c>
      <c r="B1155" s="7">
        <v>2</v>
      </c>
      <c r="C1155" s="7" t="s">
        <v>113</v>
      </c>
      <c r="D1155" s="7">
        <v>1</v>
      </c>
      <c r="E1155" s="7" t="s">
        <v>177</v>
      </c>
      <c r="F1155" s="9">
        <v>5.0199999999999996</v>
      </c>
    </row>
    <row r="1156" spans="1:6" x14ac:dyDescent="0.35">
      <c r="A1156" s="10">
        <v>1338</v>
      </c>
      <c r="B1156" s="7">
        <v>3</v>
      </c>
      <c r="C1156" s="7" t="s">
        <v>79</v>
      </c>
      <c r="D1156" s="7">
        <v>5</v>
      </c>
      <c r="E1156" s="7" t="s">
        <v>192</v>
      </c>
      <c r="F1156" s="9">
        <v>2.09</v>
      </c>
    </row>
    <row r="1157" spans="1:6" x14ac:dyDescent="0.35">
      <c r="A1157" s="10">
        <v>1339</v>
      </c>
      <c r="B1157" s="7">
        <v>1</v>
      </c>
      <c r="C1157" s="7" t="s">
        <v>131</v>
      </c>
      <c r="D1157" s="7">
        <v>4</v>
      </c>
      <c r="E1157" s="7" t="s">
        <v>167</v>
      </c>
      <c r="F1157" s="9">
        <v>8.3699999999999992</v>
      </c>
    </row>
    <row r="1158" spans="1:6" x14ac:dyDescent="0.35">
      <c r="A1158" s="10">
        <v>1339</v>
      </c>
      <c r="B1158" s="7">
        <v>2</v>
      </c>
      <c r="C1158" s="7" t="s">
        <v>154</v>
      </c>
      <c r="D1158" s="7">
        <v>3</v>
      </c>
      <c r="E1158" s="7" t="s">
        <v>167</v>
      </c>
      <c r="F1158" s="9">
        <v>8.3699999999999992</v>
      </c>
    </row>
    <row r="1159" spans="1:6" x14ac:dyDescent="0.35">
      <c r="A1159" s="10">
        <v>1339</v>
      </c>
      <c r="B1159" s="7">
        <v>3</v>
      </c>
      <c r="C1159" s="7" t="s">
        <v>71</v>
      </c>
      <c r="D1159" s="7">
        <v>2</v>
      </c>
      <c r="E1159" s="7" t="s">
        <v>165</v>
      </c>
      <c r="F1159" s="9">
        <v>1.67</v>
      </c>
    </row>
    <row r="1160" spans="1:6" x14ac:dyDescent="0.35">
      <c r="A1160" s="10">
        <v>1340</v>
      </c>
      <c r="B1160" s="7">
        <v>1</v>
      </c>
      <c r="C1160" s="7" t="s">
        <v>97</v>
      </c>
      <c r="D1160" s="7">
        <v>3</v>
      </c>
      <c r="E1160" s="7" t="s">
        <v>165</v>
      </c>
      <c r="F1160" s="9">
        <v>1.67</v>
      </c>
    </row>
    <row r="1161" spans="1:6" x14ac:dyDescent="0.35">
      <c r="A1161" s="10">
        <v>1340</v>
      </c>
      <c r="B1161" s="7">
        <v>2</v>
      </c>
      <c r="C1161" s="7" t="s">
        <v>87</v>
      </c>
      <c r="D1161" s="7">
        <v>5</v>
      </c>
      <c r="E1161" s="7" t="s">
        <v>165</v>
      </c>
      <c r="F1161" s="9">
        <v>1.67</v>
      </c>
    </row>
    <row r="1162" spans="1:6" x14ac:dyDescent="0.35">
      <c r="A1162" s="10">
        <v>1340</v>
      </c>
      <c r="B1162" s="7">
        <v>3</v>
      </c>
      <c r="C1162" s="7" t="s">
        <v>92</v>
      </c>
      <c r="D1162" s="7">
        <v>5</v>
      </c>
      <c r="E1162" s="7" t="s">
        <v>179</v>
      </c>
      <c r="F1162" s="9">
        <v>5.86</v>
      </c>
    </row>
    <row r="1163" spans="1:6" x14ac:dyDescent="0.35">
      <c r="A1163" s="10">
        <v>1341</v>
      </c>
      <c r="B1163" s="7">
        <v>1</v>
      </c>
      <c r="C1163" s="7" t="s">
        <v>122</v>
      </c>
      <c r="D1163" s="7">
        <v>6</v>
      </c>
      <c r="E1163" s="7" t="s">
        <v>167</v>
      </c>
      <c r="F1163" s="9">
        <v>8.3699999999999992</v>
      </c>
    </row>
    <row r="1164" spans="1:6" x14ac:dyDescent="0.35">
      <c r="A1164" s="10">
        <v>1341</v>
      </c>
      <c r="B1164" s="7">
        <v>2</v>
      </c>
      <c r="C1164" s="7" t="s">
        <v>83</v>
      </c>
      <c r="D1164" s="7">
        <v>1</v>
      </c>
      <c r="E1164" s="7" t="s">
        <v>197</v>
      </c>
      <c r="F1164" s="9">
        <v>3.76</v>
      </c>
    </row>
    <row r="1165" spans="1:6" x14ac:dyDescent="0.35">
      <c r="A1165" s="10">
        <v>1341</v>
      </c>
      <c r="B1165" s="7">
        <v>3</v>
      </c>
      <c r="C1165" s="7" t="s">
        <v>91</v>
      </c>
      <c r="D1165" s="7">
        <v>2</v>
      </c>
      <c r="E1165" s="7" t="s">
        <v>170</v>
      </c>
      <c r="F1165" s="9">
        <v>6.69</v>
      </c>
    </row>
    <row r="1166" spans="1:6" x14ac:dyDescent="0.35">
      <c r="A1166" s="10">
        <v>1341</v>
      </c>
      <c r="B1166" s="7">
        <v>4</v>
      </c>
      <c r="C1166" s="7" t="s">
        <v>98</v>
      </c>
      <c r="D1166" s="7">
        <v>1</v>
      </c>
      <c r="E1166" s="7" t="s">
        <v>165</v>
      </c>
      <c r="F1166" s="9">
        <v>1.67</v>
      </c>
    </row>
    <row r="1167" spans="1:6" x14ac:dyDescent="0.35">
      <c r="A1167" s="10">
        <v>1342</v>
      </c>
      <c r="B1167" s="7">
        <v>1</v>
      </c>
      <c r="C1167" s="7" t="s">
        <v>96</v>
      </c>
      <c r="D1167" s="7">
        <v>4</v>
      </c>
      <c r="E1167" s="7" t="s">
        <v>179</v>
      </c>
      <c r="F1167" s="9">
        <v>5.86</v>
      </c>
    </row>
    <row r="1168" spans="1:6" x14ac:dyDescent="0.35">
      <c r="A1168" s="10">
        <v>1342</v>
      </c>
      <c r="B1168" s="7">
        <v>2</v>
      </c>
      <c r="C1168" s="7" t="s">
        <v>123</v>
      </c>
      <c r="D1168" s="7">
        <v>3</v>
      </c>
      <c r="E1168" s="7" t="s">
        <v>179</v>
      </c>
      <c r="F1168" s="9">
        <v>5.86</v>
      </c>
    </row>
    <row r="1169" spans="1:6" x14ac:dyDescent="0.35">
      <c r="A1169" s="10">
        <v>1342</v>
      </c>
      <c r="B1169" s="7">
        <v>3</v>
      </c>
      <c r="C1169" s="7" t="s">
        <v>106</v>
      </c>
      <c r="D1169" s="7">
        <v>3</v>
      </c>
      <c r="E1169" s="7" t="s">
        <v>167</v>
      </c>
      <c r="F1169" s="9">
        <v>8.3699999999999992</v>
      </c>
    </row>
    <row r="1170" spans="1:6" x14ac:dyDescent="0.35">
      <c r="A1170" s="10">
        <v>1342</v>
      </c>
      <c r="B1170" s="7">
        <v>4</v>
      </c>
      <c r="C1170" s="7" t="s">
        <v>155</v>
      </c>
      <c r="D1170" s="7">
        <v>7</v>
      </c>
      <c r="E1170" s="7" t="s">
        <v>167</v>
      </c>
      <c r="F1170" s="9">
        <v>8.3699999999999992</v>
      </c>
    </row>
    <row r="1171" spans="1:6" x14ac:dyDescent="0.35">
      <c r="A1171" s="10">
        <v>1342</v>
      </c>
      <c r="B1171" s="7">
        <v>5</v>
      </c>
      <c r="C1171" s="7" t="s">
        <v>124</v>
      </c>
      <c r="D1171" s="7">
        <v>6</v>
      </c>
      <c r="E1171" s="7" t="s">
        <v>167</v>
      </c>
      <c r="F1171" s="9">
        <v>8.3699999999999992</v>
      </c>
    </row>
    <row r="1172" spans="1:6" x14ac:dyDescent="0.35">
      <c r="A1172" s="10">
        <v>1343</v>
      </c>
      <c r="B1172" s="7">
        <v>1</v>
      </c>
      <c r="C1172" s="7" t="s">
        <v>118</v>
      </c>
      <c r="D1172" s="7">
        <v>3</v>
      </c>
      <c r="E1172" s="7" t="s">
        <v>165</v>
      </c>
      <c r="F1172" s="9">
        <v>1.67</v>
      </c>
    </row>
    <row r="1173" spans="1:6" x14ac:dyDescent="0.35">
      <c r="A1173" s="10">
        <v>1343</v>
      </c>
      <c r="B1173" s="7">
        <v>2</v>
      </c>
      <c r="C1173" s="7" t="s">
        <v>105</v>
      </c>
      <c r="D1173" s="7">
        <v>2</v>
      </c>
      <c r="E1173" s="7" t="s">
        <v>165</v>
      </c>
      <c r="F1173" s="9">
        <v>1.67</v>
      </c>
    </row>
    <row r="1174" spans="1:6" x14ac:dyDescent="0.35">
      <c r="A1174" s="10">
        <v>1344</v>
      </c>
      <c r="B1174" s="7">
        <v>1</v>
      </c>
      <c r="C1174" s="7" t="s">
        <v>152</v>
      </c>
      <c r="D1174" s="7">
        <v>5</v>
      </c>
      <c r="E1174" s="7" t="s">
        <v>177</v>
      </c>
      <c r="F1174" s="9">
        <v>5.0199999999999996</v>
      </c>
    </row>
    <row r="1175" spans="1:6" x14ac:dyDescent="0.35">
      <c r="A1175" s="10">
        <v>1344</v>
      </c>
      <c r="B1175" s="7">
        <v>2</v>
      </c>
      <c r="C1175" s="7" t="s">
        <v>93</v>
      </c>
      <c r="D1175" s="7">
        <v>4</v>
      </c>
      <c r="E1175" s="7" t="s">
        <v>175</v>
      </c>
      <c r="F1175" s="9">
        <v>4.18</v>
      </c>
    </row>
    <row r="1176" spans="1:6" x14ac:dyDescent="0.35">
      <c r="A1176" s="10">
        <v>1345</v>
      </c>
      <c r="B1176" s="7">
        <v>1</v>
      </c>
      <c r="C1176" s="7" t="s">
        <v>132</v>
      </c>
      <c r="D1176" s="7">
        <v>2</v>
      </c>
      <c r="E1176" s="7" t="s">
        <v>170</v>
      </c>
      <c r="F1176" s="9">
        <v>6.69</v>
      </c>
    </row>
    <row r="1177" spans="1:6" x14ac:dyDescent="0.35">
      <c r="A1177" s="10">
        <v>1345</v>
      </c>
      <c r="B1177" s="7">
        <v>2</v>
      </c>
      <c r="C1177" s="7" t="s">
        <v>74</v>
      </c>
      <c r="D1177" s="7">
        <v>3</v>
      </c>
      <c r="E1177" s="7" t="s">
        <v>165</v>
      </c>
      <c r="F1177" s="9">
        <v>1.67</v>
      </c>
    </row>
    <row r="1178" spans="1:6" x14ac:dyDescent="0.35">
      <c r="A1178" s="10">
        <v>1345</v>
      </c>
      <c r="B1178" s="7">
        <v>3</v>
      </c>
      <c r="C1178" s="7" t="s">
        <v>146</v>
      </c>
      <c r="D1178" s="7">
        <v>3</v>
      </c>
      <c r="E1178" s="7" t="s">
        <v>175</v>
      </c>
      <c r="F1178" s="9">
        <v>4.18</v>
      </c>
    </row>
    <row r="1179" spans="1:6" x14ac:dyDescent="0.35">
      <c r="A1179" s="10">
        <v>1345</v>
      </c>
      <c r="B1179" s="7">
        <v>4</v>
      </c>
      <c r="C1179" s="7" t="s">
        <v>108</v>
      </c>
      <c r="D1179" s="7">
        <v>4</v>
      </c>
      <c r="E1179" s="7" t="s">
        <v>177</v>
      </c>
      <c r="F1179" s="9">
        <v>5.0199999999999996</v>
      </c>
    </row>
    <row r="1180" spans="1:6" x14ac:dyDescent="0.35">
      <c r="A1180" s="10">
        <v>1345</v>
      </c>
      <c r="B1180" s="7">
        <v>5</v>
      </c>
      <c r="C1180" s="7" t="s">
        <v>126</v>
      </c>
      <c r="D1180" s="7">
        <v>5</v>
      </c>
      <c r="E1180" s="7" t="s">
        <v>192</v>
      </c>
      <c r="F1180" s="9">
        <v>2.09</v>
      </c>
    </row>
    <row r="1181" spans="1:6" x14ac:dyDescent="0.35">
      <c r="A1181" s="10">
        <v>1346</v>
      </c>
      <c r="B1181" s="7">
        <v>1</v>
      </c>
      <c r="C1181" s="7" t="s">
        <v>146</v>
      </c>
      <c r="D1181" s="7">
        <v>7</v>
      </c>
      <c r="E1181" s="7" t="s">
        <v>175</v>
      </c>
      <c r="F1181" s="9">
        <v>4.18</v>
      </c>
    </row>
    <row r="1182" spans="1:6" x14ac:dyDescent="0.35">
      <c r="A1182" s="10">
        <v>1346</v>
      </c>
      <c r="B1182" s="7">
        <v>2</v>
      </c>
      <c r="C1182" s="7" t="s">
        <v>93</v>
      </c>
      <c r="D1182" s="7">
        <v>3</v>
      </c>
      <c r="E1182" s="7" t="s">
        <v>175</v>
      </c>
      <c r="F1182" s="9">
        <v>4.18</v>
      </c>
    </row>
    <row r="1183" spans="1:6" x14ac:dyDescent="0.35">
      <c r="A1183" s="10">
        <v>1346</v>
      </c>
      <c r="B1183" s="7">
        <v>3</v>
      </c>
      <c r="C1183" s="7" t="s">
        <v>82</v>
      </c>
      <c r="D1183" s="7">
        <v>7</v>
      </c>
      <c r="E1183" s="7" t="s">
        <v>179</v>
      </c>
      <c r="F1183" s="9">
        <v>5.86</v>
      </c>
    </row>
    <row r="1184" spans="1:6" x14ac:dyDescent="0.35">
      <c r="A1184" s="10">
        <v>1346</v>
      </c>
      <c r="B1184" s="7">
        <v>4</v>
      </c>
      <c r="C1184" s="7" t="s">
        <v>77</v>
      </c>
      <c r="D1184" s="7">
        <v>4</v>
      </c>
      <c r="E1184" s="7" t="s">
        <v>165</v>
      </c>
      <c r="F1184" s="9">
        <v>1.67</v>
      </c>
    </row>
    <row r="1185" spans="1:6" x14ac:dyDescent="0.35">
      <c r="A1185" s="10">
        <v>1347</v>
      </c>
      <c r="B1185" s="7">
        <v>1</v>
      </c>
      <c r="C1185" s="7" t="s">
        <v>154</v>
      </c>
      <c r="D1185" s="7">
        <v>1</v>
      </c>
      <c r="E1185" s="7" t="s">
        <v>167</v>
      </c>
      <c r="F1185" s="9">
        <v>8.3699999999999992</v>
      </c>
    </row>
    <row r="1186" spans="1:6" x14ac:dyDescent="0.35">
      <c r="A1186" s="10">
        <v>1347</v>
      </c>
      <c r="B1186" s="7">
        <v>2</v>
      </c>
      <c r="C1186" s="7" t="s">
        <v>108</v>
      </c>
      <c r="D1186" s="7">
        <v>7</v>
      </c>
      <c r="E1186" s="7" t="s">
        <v>177</v>
      </c>
      <c r="F1186" s="9">
        <v>5.0199999999999996</v>
      </c>
    </row>
    <row r="1187" spans="1:6" x14ac:dyDescent="0.35">
      <c r="A1187" s="10">
        <v>1347</v>
      </c>
      <c r="B1187" s="7">
        <v>3</v>
      </c>
      <c r="C1187" s="7" t="s">
        <v>118</v>
      </c>
      <c r="D1187" s="7">
        <v>2</v>
      </c>
      <c r="E1187" s="7" t="s">
        <v>165</v>
      </c>
      <c r="F1187" s="9">
        <v>1.67</v>
      </c>
    </row>
    <row r="1188" spans="1:6" x14ac:dyDescent="0.35">
      <c r="A1188" s="10">
        <v>1347</v>
      </c>
      <c r="B1188" s="7">
        <v>4</v>
      </c>
      <c r="C1188" s="7" t="s">
        <v>127</v>
      </c>
      <c r="D1188" s="7">
        <v>2</v>
      </c>
      <c r="E1188" s="7" t="s">
        <v>177</v>
      </c>
      <c r="F1188" s="9">
        <v>5.0199999999999996</v>
      </c>
    </row>
    <row r="1189" spans="1:6" x14ac:dyDescent="0.35">
      <c r="A1189" s="10">
        <v>1348</v>
      </c>
      <c r="B1189" s="7">
        <v>1</v>
      </c>
      <c r="C1189" s="7" t="s">
        <v>133</v>
      </c>
      <c r="D1189" s="7">
        <v>5</v>
      </c>
      <c r="E1189" s="7" t="s">
        <v>175</v>
      </c>
      <c r="F1189" s="9">
        <v>4.18</v>
      </c>
    </row>
    <row r="1190" spans="1:6" x14ac:dyDescent="0.35">
      <c r="A1190" s="10">
        <v>1348</v>
      </c>
      <c r="B1190" s="7">
        <v>2</v>
      </c>
      <c r="C1190" s="7" t="s">
        <v>129</v>
      </c>
      <c r="D1190" s="7">
        <v>3</v>
      </c>
      <c r="E1190" s="7" t="s">
        <v>167</v>
      </c>
      <c r="F1190" s="9">
        <v>8.3699999999999992</v>
      </c>
    </row>
    <row r="1191" spans="1:6" x14ac:dyDescent="0.35">
      <c r="A1191" s="10">
        <v>1348</v>
      </c>
      <c r="B1191" s="7">
        <v>3</v>
      </c>
      <c r="C1191" s="7" t="s">
        <v>99</v>
      </c>
      <c r="D1191" s="7">
        <v>3</v>
      </c>
      <c r="E1191" s="7" t="s">
        <v>165</v>
      </c>
      <c r="F1191" s="9">
        <v>1.67</v>
      </c>
    </row>
    <row r="1192" spans="1:6" x14ac:dyDescent="0.35">
      <c r="A1192" s="10">
        <v>1348</v>
      </c>
      <c r="B1192" s="7">
        <v>4</v>
      </c>
      <c r="C1192" s="7" t="s">
        <v>143</v>
      </c>
      <c r="D1192" s="7">
        <v>5</v>
      </c>
      <c r="E1192" s="7" t="s">
        <v>167</v>
      </c>
      <c r="F1192" s="9">
        <v>8.3699999999999992</v>
      </c>
    </row>
    <row r="1193" spans="1:6" x14ac:dyDescent="0.35">
      <c r="A1193" s="10">
        <v>1349</v>
      </c>
      <c r="B1193" s="7">
        <v>1</v>
      </c>
      <c r="C1193" s="7" t="s">
        <v>66</v>
      </c>
      <c r="D1193" s="7">
        <v>5</v>
      </c>
      <c r="E1193" s="7" t="s">
        <v>177</v>
      </c>
      <c r="F1193" s="9">
        <v>5.0199999999999996</v>
      </c>
    </row>
    <row r="1194" spans="1:6" x14ac:dyDescent="0.35">
      <c r="A1194" s="10">
        <v>1349</v>
      </c>
      <c r="B1194" s="7">
        <v>2</v>
      </c>
      <c r="C1194" s="7" t="s">
        <v>99</v>
      </c>
      <c r="D1194" s="7">
        <v>1</v>
      </c>
      <c r="E1194" s="7" t="s">
        <v>165</v>
      </c>
      <c r="F1194" s="9">
        <v>1.67</v>
      </c>
    </row>
    <row r="1195" spans="1:6" x14ac:dyDescent="0.35">
      <c r="A1195" s="10">
        <v>1349</v>
      </c>
      <c r="B1195" s="7">
        <v>3</v>
      </c>
      <c r="C1195" s="7" t="s">
        <v>125</v>
      </c>
      <c r="D1195" s="7">
        <v>6</v>
      </c>
      <c r="E1195" s="7" t="s">
        <v>170</v>
      </c>
      <c r="F1195" s="9">
        <v>6.69</v>
      </c>
    </row>
    <row r="1196" spans="1:6" x14ac:dyDescent="0.35">
      <c r="A1196" s="10">
        <v>1349</v>
      </c>
      <c r="B1196" s="7">
        <v>4</v>
      </c>
      <c r="C1196" s="7" t="s">
        <v>130</v>
      </c>
      <c r="D1196" s="7">
        <v>5</v>
      </c>
      <c r="E1196" s="7" t="s">
        <v>165</v>
      </c>
      <c r="F1196" s="9">
        <v>1.67</v>
      </c>
    </row>
    <row r="1197" spans="1:6" x14ac:dyDescent="0.35">
      <c r="A1197" s="10">
        <v>1349</v>
      </c>
      <c r="B1197" s="7">
        <v>5</v>
      </c>
      <c r="C1197" s="7" t="s">
        <v>71</v>
      </c>
      <c r="D1197" s="7">
        <v>3</v>
      </c>
      <c r="E1197" s="7" t="s">
        <v>165</v>
      </c>
      <c r="F1197" s="9">
        <v>1.67</v>
      </c>
    </row>
    <row r="1198" spans="1:6" x14ac:dyDescent="0.35">
      <c r="A1198" s="10">
        <v>1350</v>
      </c>
      <c r="B1198" s="7">
        <v>1</v>
      </c>
      <c r="C1198" s="7" t="s">
        <v>96</v>
      </c>
      <c r="D1198" s="7">
        <v>4</v>
      </c>
      <c r="E1198" s="7" t="s">
        <v>179</v>
      </c>
      <c r="F1198" s="9">
        <v>5.86</v>
      </c>
    </row>
    <row r="1199" spans="1:6" x14ac:dyDescent="0.35">
      <c r="A1199" s="10">
        <v>1350</v>
      </c>
      <c r="B1199" s="7">
        <v>2</v>
      </c>
      <c r="C1199" s="7" t="s">
        <v>121</v>
      </c>
      <c r="D1199" s="7">
        <v>4</v>
      </c>
      <c r="E1199" s="7" t="s">
        <v>197</v>
      </c>
      <c r="F1199" s="9">
        <v>3.76</v>
      </c>
    </row>
    <row r="1200" spans="1:6" x14ac:dyDescent="0.35">
      <c r="A1200" s="10">
        <v>1350</v>
      </c>
      <c r="B1200" s="7">
        <v>3</v>
      </c>
      <c r="C1200" s="7" t="s">
        <v>131</v>
      </c>
      <c r="D1200" s="7">
        <v>6</v>
      </c>
      <c r="E1200" s="7" t="s">
        <v>167</v>
      </c>
      <c r="F1200" s="9">
        <v>8.3699999999999992</v>
      </c>
    </row>
    <row r="1201" spans="1:6" x14ac:dyDescent="0.35">
      <c r="A1201" s="10">
        <v>1350</v>
      </c>
      <c r="B1201" s="7">
        <v>4</v>
      </c>
      <c r="C1201" s="7" t="s">
        <v>152</v>
      </c>
      <c r="D1201" s="7">
        <v>1</v>
      </c>
      <c r="E1201" s="7" t="s">
        <v>177</v>
      </c>
      <c r="F1201" s="9">
        <v>5.0199999999999996</v>
      </c>
    </row>
    <row r="1202" spans="1:6" x14ac:dyDescent="0.35">
      <c r="A1202" s="10">
        <v>1350</v>
      </c>
      <c r="B1202" s="7">
        <v>5</v>
      </c>
      <c r="C1202" s="7" t="s">
        <v>89</v>
      </c>
      <c r="D1202" s="7">
        <v>7</v>
      </c>
      <c r="E1202" s="7" t="s">
        <v>165</v>
      </c>
      <c r="F1202" s="9">
        <v>1.67</v>
      </c>
    </row>
    <row r="1203" spans="1:6" x14ac:dyDescent="0.35">
      <c r="A1203" s="10">
        <v>1351</v>
      </c>
      <c r="B1203" s="7">
        <v>1</v>
      </c>
      <c r="C1203" s="7" t="s">
        <v>82</v>
      </c>
      <c r="D1203" s="7">
        <v>4</v>
      </c>
      <c r="E1203" s="7" t="s">
        <v>179</v>
      </c>
      <c r="F1203" s="9">
        <v>5.86</v>
      </c>
    </row>
    <row r="1204" spans="1:6" x14ac:dyDescent="0.35">
      <c r="A1204" s="10">
        <v>1351</v>
      </c>
      <c r="B1204" s="7">
        <v>2</v>
      </c>
      <c r="C1204" s="7" t="s">
        <v>99</v>
      </c>
      <c r="D1204" s="7">
        <v>2</v>
      </c>
      <c r="E1204" s="7" t="s">
        <v>165</v>
      </c>
      <c r="F1204" s="9">
        <v>1.67</v>
      </c>
    </row>
    <row r="1205" spans="1:6" x14ac:dyDescent="0.35">
      <c r="A1205" s="10">
        <v>1351</v>
      </c>
      <c r="B1205" s="7">
        <v>3</v>
      </c>
      <c r="C1205" s="7" t="s">
        <v>107</v>
      </c>
      <c r="D1205" s="7">
        <v>3</v>
      </c>
      <c r="E1205" s="7" t="s">
        <v>165</v>
      </c>
      <c r="F1205" s="9">
        <v>1.67</v>
      </c>
    </row>
    <row r="1206" spans="1:6" x14ac:dyDescent="0.35">
      <c r="A1206" s="10">
        <v>1351</v>
      </c>
      <c r="B1206" s="7">
        <v>4</v>
      </c>
      <c r="C1206" s="7" t="s">
        <v>113</v>
      </c>
      <c r="D1206" s="7">
        <v>5</v>
      </c>
      <c r="E1206" s="7" t="s">
        <v>177</v>
      </c>
      <c r="F1206" s="9">
        <v>5.0199999999999996</v>
      </c>
    </row>
    <row r="1207" spans="1:6" x14ac:dyDescent="0.35">
      <c r="A1207" s="10">
        <v>1351</v>
      </c>
      <c r="B1207" s="7">
        <v>5</v>
      </c>
      <c r="C1207" s="7" t="s">
        <v>74</v>
      </c>
      <c r="D1207" s="7">
        <v>7</v>
      </c>
      <c r="E1207" s="7" t="s">
        <v>165</v>
      </c>
      <c r="F1207" s="9">
        <v>1.67</v>
      </c>
    </row>
    <row r="1208" spans="1:6" x14ac:dyDescent="0.35">
      <c r="A1208" s="10">
        <v>1352</v>
      </c>
      <c r="B1208" s="7">
        <v>1</v>
      </c>
      <c r="C1208" s="7" t="s">
        <v>116</v>
      </c>
      <c r="D1208" s="7">
        <v>6</v>
      </c>
      <c r="E1208" s="7" t="s">
        <v>165</v>
      </c>
      <c r="F1208" s="9">
        <v>1.67</v>
      </c>
    </row>
    <row r="1209" spans="1:6" x14ac:dyDescent="0.35">
      <c r="A1209" s="10">
        <v>1352</v>
      </c>
      <c r="B1209" s="7">
        <v>2</v>
      </c>
      <c r="C1209" s="7" t="s">
        <v>103</v>
      </c>
      <c r="D1209" s="7">
        <v>5</v>
      </c>
      <c r="E1209" s="7" t="s">
        <v>170</v>
      </c>
      <c r="F1209" s="9">
        <v>6.69</v>
      </c>
    </row>
    <row r="1210" spans="1:6" x14ac:dyDescent="0.35">
      <c r="A1210" s="10">
        <v>1353</v>
      </c>
      <c r="B1210" s="7">
        <v>1</v>
      </c>
      <c r="C1210" s="7" t="s">
        <v>102</v>
      </c>
      <c r="D1210" s="7">
        <v>3</v>
      </c>
      <c r="E1210" s="7" t="s">
        <v>192</v>
      </c>
      <c r="F1210" s="9">
        <v>2.09</v>
      </c>
    </row>
    <row r="1211" spans="1:6" x14ac:dyDescent="0.35">
      <c r="A1211" s="10">
        <v>1353</v>
      </c>
      <c r="B1211" s="7">
        <v>2</v>
      </c>
      <c r="C1211" s="7" t="s">
        <v>123</v>
      </c>
      <c r="D1211" s="7">
        <v>7</v>
      </c>
      <c r="E1211" s="7" t="s">
        <v>179</v>
      </c>
      <c r="F1211" s="9">
        <v>5.86</v>
      </c>
    </row>
    <row r="1212" spans="1:6" x14ac:dyDescent="0.35">
      <c r="A1212" s="10">
        <v>1354</v>
      </c>
      <c r="B1212" s="7">
        <v>1</v>
      </c>
      <c r="C1212" s="7" t="s">
        <v>54</v>
      </c>
      <c r="D1212" s="7">
        <v>1</v>
      </c>
      <c r="E1212" s="7" t="s">
        <v>167</v>
      </c>
      <c r="F1212" s="9">
        <v>8.3699999999999992</v>
      </c>
    </row>
    <row r="1213" spans="1:6" x14ac:dyDescent="0.35">
      <c r="A1213" s="10">
        <v>1354</v>
      </c>
      <c r="B1213" s="7">
        <v>2</v>
      </c>
      <c r="C1213" s="7" t="s">
        <v>73</v>
      </c>
      <c r="D1213" s="7">
        <v>5</v>
      </c>
      <c r="E1213" s="7" t="s">
        <v>165</v>
      </c>
      <c r="F1213" s="9">
        <v>1.67</v>
      </c>
    </row>
    <row r="1214" spans="1:6" x14ac:dyDescent="0.35">
      <c r="A1214" s="10">
        <v>1354</v>
      </c>
      <c r="B1214" s="7">
        <v>3</v>
      </c>
      <c r="C1214" s="7" t="s">
        <v>92</v>
      </c>
      <c r="D1214" s="7">
        <v>6</v>
      </c>
      <c r="E1214" s="7" t="s">
        <v>179</v>
      </c>
      <c r="F1214" s="9">
        <v>5.86</v>
      </c>
    </row>
    <row r="1215" spans="1:6" x14ac:dyDescent="0.35">
      <c r="A1215" s="10">
        <v>1354</v>
      </c>
      <c r="B1215" s="7">
        <v>4</v>
      </c>
      <c r="C1215" s="7" t="s">
        <v>72</v>
      </c>
      <c r="D1215" s="7">
        <v>7</v>
      </c>
      <c r="E1215" s="7" t="s">
        <v>165</v>
      </c>
      <c r="F1215" s="9">
        <v>1.67</v>
      </c>
    </row>
    <row r="1216" spans="1:6" x14ac:dyDescent="0.35">
      <c r="A1216" s="10">
        <v>1354</v>
      </c>
      <c r="B1216" s="7">
        <v>5</v>
      </c>
      <c r="C1216" s="7" t="s">
        <v>100</v>
      </c>
      <c r="D1216" s="7">
        <v>3</v>
      </c>
      <c r="E1216" s="7" t="s">
        <v>170</v>
      </c>
      <c r="F1216" s="9">
        <v>6.69</v>
      </c>
    </row>
    <row r="1217" spans="1:6" x14ac:dyDescent="0.35">
      <c r="A1217" s="10">
        <v>1355</v>
      </c>
      <c r="B1217" s="7">
        <v>1</v>
      </c>
      <c r="C1217" s="7" t="s">
        <v>153</v>
      </c>
      <c r="D1217" s="7">
        <v>3</v>
      </c>
      <c r="E1217" s="7" t="s">
        <v>179</v>
      </c>
      <c r="F1217" s="9">
        <v>5.86</v>
      </c>
    </row>
    <row r="1218" spans="1:6" x14ac:dyDescent="0.35">
      <c r="A1218" s="10">
        <v>1355</v>
      </c>
      <c r="B1218" s="7">
        <v>2</v>
      </c>
      <c r="C1218" s="7" t="s">
        <v>96</v>
      </c>
      <c r="D1218" s="7">
        <v>6</v>
      </c>
      <c r="E1218" s="7" t="s">
        <v>179</v>
      </c>
      <c r="F1218" s="9">
        <v>5.86</v>
      </c>
    </row>
    <row r="1219" spans="1:6" x14ac:dyDescent="0.35">
      <c r="A1219" s="10">
        <v>1355</v>
      </c>
      <c r="B1219" s="7">
        <v>3</v>
      </c>
      <c r="C1219" s="7" t="s">
        <v>144</v>
      </c>
      <c r="D1219" s="7">
        <v>5</v>
      </c>
      <c r="E1219" s="7" t="s">
        <v>177</v>
      </c>
      <c r="F1219" s="9">
        <v>5.0199999999999996</v>
      </c>
    </row>
    <row r="1220" spans="1:6" x14ac:dyDescent="0.35">
      <c r="A1220" s="10">
        <v>1356</v>
      </c>
      <c r="B1220" s="7">
        <v>1</v>
      </c>
      <c r="C1220" s="7" t="s">
        <v>64</v>
      </c>
      <c r="D1220" s="7">
        <v>7</v>
      </c>
      <c r="E1220" s="7" t="s">
        <v>167</v>
      </c>
      <c r="F1220" s="9">
        <v>8.3699999999999992</v>
      </c>
    </row>
    <row r="1221" spans="1:6" x14ac:dyDescent="0.35">
      <c r="A1221" s="10">
        <v>1356</v>
      </c>
      <c r="B1221" s="7">
        <v>2</v>
      </c>
      <c r="C1221" s="7" t="s">
        <v>133</v>
      </c>
      <c r="D1221" s="7">
        <v>4</v>
      </c>
      <c r="E1221" s="7" t="s">
        <v>175</v>
      </c>
      <c r="F1221" s="9">
        <v>4.18</v>
      </c>
    </row>
    <row r="1222" spans="1:6" x14ac:dyDescent="0.35">
      <c r="A1222" s="10">
        <v>1356</v>
      </c>
      <c r="B1222" s="7">
        <v>3</v>
      </c>
      <c r="C1222" s="7" t="s">
        <v>134</v>
      </c>
      <c r="D1222" s="7">
        <v>1</v>
      </c>
      <c r="E1222" s="7" t="s">
        <v>177</v>
      </c>
      <c r="F1222" s="9">
        <v>5.0199999999999996</v>
      </c>
    </row>
    <row r="1223" spans="1:6" x14ac:dyDescent="0.35">
      <c r="A1223" s="10">
        <v>1356</v>
      </c>
      <c r="B1223" s="7">
        <v>4</v>
      </c>
      <c r="C1223" s="7" t="s">
        <v>103</v>
      </c>
      <c r="D1223" s="7">
        <v>1</v>
      </c>
      <c r="E1223" s="7" t="s">
        <v>170</v>
      </c>
      <c r="F1223" s="9">
        <v>6.69</v>
      </c>
    </row>
    <row r="1224" spans="1:6" x14ac:dyDescent="0.35">
      <c r="A1224" s="10">
        <v>1356</v>
      </c>
      <c r="B1224" s="7">
        <v>5</v>
      </c>
      <c r="C1224" s="7" t="s">
        <v>90</v>
      </c>
      <c r="D1224" s="7">
        <v>1</v>
      </c>
      <c r="E1224" s="7" t="s">
        <v>165</v>
      </c>
      <c r="F1224" s="9">
        <v>1.67</v>
      </c>
    </row>
    <row r="1225" spans="1:6" x14ac:dyDescent="0.35">
      <c r="A1225" s="10">
        <v>1357</v>
      </c>
      <c r="B1225" s="7">
        <v>1</v>
      </c>
      <c r="C1225" s="7" t="s">
        <v>132</v>
      </c>
      <c r="D1225" s="7">
        <v>6</v>
      </c>
      <c r="E1225" s="7" t="s">
        <v>170</v>
      </c>
      <c r="F1225" s="9">
        <v>6.69</v>
      </c>
    </row>
    <row r="1226" spans="1:6" x14ac:dyDescent="0.35">
      <c r="A1226" s="10">
        <v>1357</v>
      </c>
      <c r="B1226" s="7">
        <v>2</v>
      </c>
      <c r="C1226" s="7" t="s">
        <v>105</v>
      </c>
      <c r="D1226" s="7">
        <v>7</v>
      </c>
      <c r="E1226" s="7" t="s">
        <v>165</v>
      </c>
      <c r="F1226" s="9">
        <v>1.67</v>
      </c>
    </row>
    <row r="1227" spans="1:6" x14ac:dyDescent="0.35">
      <c r="A1227" s="10">
        <v>1358</v>
      </c>
      <c r="B1227" s="7">
        <v>1</v>
      </c>
      <c r="C1227" s="7" t="s">
        <v>130</v>
      </c>
      <c r="D1227" s="7">
        <v>6</v>
      </c>
      <c r="E1227" s="7" t="s">
        <v>165</v>
      </c>
      <c r="F1227" s="9">
        <v>1.67</v>
      </c>
    </row>
    <row r="1228" spans="1:6" x14ac:dyDescent="0.35">
      <c r="A1228" s="10">
        <v>1358</v>
      </c>
      <c r="B1228" s="7">
        <v>2</v>
      </c>
      <c r="C1228" s="7" t="s">
        <v>74</v>
      </c>
      <c r="D1228" s="7">
        <v>4</v>
      </c>
      <c r="E1228" s="7" t="s">
        <v>165</v>
      </c>
      <c r="F1228" s="9">
        <v>1.67</v>
      </c>
    </row>
    <row r="1229" spans="1:6" x14ac:dyDescent="0.35">
      <c r="A1229" s="10">
        <v>1358</v>
      </c>
      <c r="B1229" s="7">
        <v>3</v>
      </c>
      <c r="C1229" s="7" t="s">
        <v>148</v>
      </c>
      <c r="D1229" s="7">
        <v>1</v>
      </c>
      <c r="E1229" s="7" t="s">
        <v>192</v>
      </c>
      <c r="F1229" s="9">
        <v>2.09</v>
      </c>
    </row>
    <row r="1230" spans="1:6" x14ac:dyDescent="0.35">
      <c r="A1230" s="10">
        <v>1359</v>
      </c>
      <c r="B1230" s="7">
        <v>1</v>
      </c>
      <c r="C1230" s="7" t="s">
        <v>110</v>
      </c>
      <c r="D1230" s="7">
        <v>3</v>
      </c>
      <c r="E1230" s="7" t="s">
        <v>197</v>
      </c>
      <c r="F1230" s="9">
        <v>3.76</v>
      </c>
    </row>
    <row r="1231" spans="1:6" x14ac:dyDescent="0.35">
      <c r="A1231" s="10">
        <v>1359</v>
      </c>
      <c r="B1231" s="7">
        <v>2</v>
      </c>
      <c r="C1231" s="7" t="s">
        <v>157</v>
      </c>
      <c r="D1231" s="7">
        <v>7</v>
      </c>
      <c r="E1231" s="7" t="s">
        <v>165</v>
      </c>
      <c r="F1231" s="9">
        <v>1.67</v>
      </c>
    </row>
    <row r="1232" spans="1:6" x14ac:dyDescent="0.35">
      <c r="A1232" s="10">
        <v>1359</v>
      </c>
      <c r="B1232" s="7">
        <v>3</v>
      </c>
      <c r="C1232" s="7" t="s">
        <v>141</v>
      </c>
      <c r="D1232" s="7">
        <v>7</v>
      </c>
      <c r="E1232" s="7" t="s">
        <v>170</v>
      </c>
      <c r="F1232" s="9">
        <v>6.69</v>
      </c>
    </row>
    <row r="1233" spans="1:6" x14ac:dyDescent="0.35">
      <c r="A1233" s="10">
        <v>1359</v>
      </c>
      <c r="B1233" s="7">
        <v>4</v>
      </c>
      <c r="C1233" s="7" t="s">
        <v>121</v>
      </c>
      <c r="D1233" s="7">
        <v>3</v>
      </c>
      <c r="E1233" s="7" t="s">
        <v>197</v>
      </c>
      <c r="F1233" s="9">
        <v>3.76</v>
      </c>
    </row>
    <row r="1234" spans="1:6" x14ac:dyDescent="0.35">
      <c r="A1234" s="10">
        <v>1359</v>
      </c>
      <c r="B1234" s="7">
        <v>5</v>
      </c>
      <c r="C1234" s="7" t="s">
        <v>145</v>
      </c>
      <c r="D1234" s="7">
        <v>4</v>
      </c>
      <c r="E1234" s="7" t="s">
        <v>179</v>
      </c>
      <c r="F1234" s="9">
        <v>5.86</v>
      </c>
    </row>
    <row r="1235" spans="1:6" x14ac:dyDescent="0.35">
      <c r="A1235" s="10">
        <v>1360</v>
      </c>
      <c r="B1235" s="7">
        <v>1</v>
      </c>
      <c r="C1235" s="7" t="s">
        <v>106</v>
      </c>
      <c r="D1235" s="7">
        <v>6</v>
      </c>
      <c r="E1235" s="7" t="s">
        <v>167</v>
      </c>
      <c r="F1235" s="9">
        <v>8.3699999999999992</v>
      </c>
    </row>
    <row r="1236" spans="1:6" x14ac:dyDescent="0.35">
      <c r="A1236" s="10">
        <v>1360</v>
      </c>
      <c r="B1236" s="7">
        <v>2</v>
      </c>
      <c r="C1236" s="7" t="s">
        <v>112</v>
      </c>
      <c r="D1236" s="7">
        <v>3</v>
      </c>
      <c r="E1236" s="7" t="s">
        <v>179</v>
      </c>
      <c r="F1236" s="9">
        <v>5.86</v>
      </c>
    </row>
    <row r="1237" spans="1:6" x14ac:dyDescent="0.35">
      <c r="A1237" s="10">
        <v>1360</v>
      </c>
      <c r="B1237" s="7">
        <v>3</v>
      </c>
      <c r="C1237" s="7" t="s">
        <v>101</v>
      </c>
      <c r="D1237" s="7">
        <v>5</v>
      </c>
      <c r="E1237" s="7" t="s">
        <v>179</v>
      </c>
      <c r="F1237" s="9">
        <v>5.86</v>
      </c>
    </row>
    <row r="1238" spans="1:6" x14ac:dyDescent="0.35">
      <c r="A1238" s="10">
        <v>1360</v>
      </c>
      <c r="B1238" s="7">
        <v>4</v>
      </c>
      <c r="C1238" s="7" t="s">
        <v>153</v>
      </c>
      <c r="D1238" s="7">
        <v>3</v>
      </c>
      <c r="E1238" s="7" t="s">
        <v>179</v>
      </c>
      <c r="F1238" s="9">
        <v>5.86</v>
      </c>
    </row>
    <row r="1239" spans="1:6" x14ac:dyDescent="0.35">
      <c r="A1239" s="10">
        <v>1361</v>
      </c>
      <c r="B1239" s="7">
        <v>1</v>
      </c>
      <c r="C1239" s="7" t="s">
        <v>134</v>
      </c>
      <c r="D1239" s="7">
        <v>7</v>
      </c>
      <c r="E1239" s="7" t="s">
        <v>177</v>
      </c>
      <c r="F1239" s="9">
        <v>5.0199999999999996</v>
      </c>
    </row>
    <row r="1240" spans="1:6" x14ac:dyDescent="0.35">
      <c r="A1240" s="10">
        <v>1361</v>
      </c>
      <c r="B1240" s="7">
        <v>2</v>
      </c>
      <c r="C1240" s="7" t="s">
        <v>91</v>
      </c>
      <c r="D1240" s="7">
        <v>2</v>
      </c>
      <c r="E1240" s="7" t="s">
        <v>170</v>
      </c>
      <c r="F1240" s="9">
        <v>6.69</v>
      </c>
    </row>
    <row r="1241" spans="1:6" x14ac:dyDescent="0.35">
      <c r="A1241" s="10">
        <v>1362</v>
      </c>
      <c r="B1241" s="7">
        <v>1</v>
      </c>
      <c r="C1241" s="7" t="s">
        <v>126</v>
      </c>
      <c r="D1241" s="7">
        <v>2</v>
      </c>
      <c r="E1241" s="7" t="s">
        <v>192</v>
      </c>
      <c r="F1241" s="9">
        <v>2.09</v>
      </c>
    </row>
    <row r="1242" spans="1:6" x14ac:dyDescent="0.35">
      <c r="A1242" s="10">
        <v>1362</v>
      </c>
      <c r="B1242" s="7">
        <v>2</v>
      </c>
      <c r="C1242" s="7" t="s">
        <v>99</v>
      </c>
      <c r="D1242" s="7">
        <v>7</v>
      </c>
      <c r="E1242" s="7" t="s">
        <v>165</v>
      </c>
      <c r="F1242" s="9">
        <v>1.67</v>
      </c>
    </row>
    <row r="1243" spans="1:6" x14ac:dyDescent="0.35">
      <c r="A1243" s="10">
        <v>1362</v>
      </c>
      <c r="B1243" s="7">
        <v>3</v>
      </c>
      <c r="C1243" s="7" t="s">
        <v>100</v>
      </c>
      <c r="D1243" s="7">
        <v>3</v>
      </c>
      <c r="E1243" s="7" t="s">
        <v>170</v>
      </c>
      <c r="F1243" s="9">
        <v>6.69</v>
      </c>
    </row>
    <row r="1244" spans="1:6" x14ac:dyDescent="0.35">
      <c r="A1244" s="10">
        <v>1363</v>
      </c>
      <c r="B1244" s="7">
        <v>1</v>
      </c>
      <c r="C1244" s="7" t="s">
        <v>94</v>
      </c>
      <c r="D1244" s="7">
        <v>6</v>
      </c>
      <c r="E1244" s="7" t="s">
        <v>170</v>
      </c>
      <c r="F1244" s="9">
        <v>6.69</v>
      </c>
    </row>
    <row r="1245" spans="1:6" x14ac:dyDescent="0.35">
      <c r="A1245" s="10">
        <v>1363</v>
      </c>
      <c r="B1245" s="7">
        <v>2</v>
      </c>
      <c r="C1245" s="7" t="s">
        <v>153</v>
      </c>
      <c r="D1245" s="7">
        <v>3</v>
      </c>
      <c r="E1245" s="7" t="s">
        <v>179</v>
      </c>
      <c r="F1245" s="9">
        <v>5.86</v>
      </c>
    </row>
    <row r="1246" spans="1:6" x14ac:dyDescent="0.35">
      <c r="A1246" s="10">
        <v>1364</v>
      </c>
      <c r="B1246" s="7">
        <v>1</v>
      </c>
      <c r="C1246" s="7" t="s">
        <v>108</v>
      </c>
      <c r="D1246" s="7">
        <v>1</v>
      </c>
      <c r="E1246" s="7" t="s">
        <v>177</v>
      </c>
      <c r="F1246" s="9">
        <v>5.0199999999999996</v>
      </c>
    </row>
    <row r="1247" spans="1:6" x14ac:dyDescent="0.35">
      <c r="A1247" s="10">
        <v>1364</v>
      </c>
      <c r="B1247" s="7">
        <v>2</v>
      </c>
      <c r="C1247" s="7" t="s">
        <v>122</v>
      </c>
      <c r="D1247" s="7">
        <v>4</v>
      </c>
      <c r="E1247" s="7" t="s">
        <v>167</v>
      </c>
      <c r="F1247" s="9">
        <v>8.3699999999999992</v>
      </c>
    </row>
    <row r="1248" spans="1:6" x14ac:dyDescent="0.35">
      <c r="A1248" s="10">
        <v>1365</v>
      </c>
      <c r="B1248" s="7">
        <v>1</v>
      </c>
      <c r="C1248" s="7" t="s">
        <v>139</v>
      </c>
      <c r="D1248" s="7">
        <v>1</v>
      </c>
      <c r="E1248" s="7" t="s">
        <v>177</v>
      </c>
      <c r="F1248" s="9">
        <v>5.0199999999999996</v>
      </c>
    </row>
    <row r="1249" spans="1:6" x14ac:dyDescent="0.35">
      <c r="A1249" s="10">
        <v>1365</v>
      </c>
      <c r="B1249" s="7">
        <v>2</v>
      </c>
      <c r="C1249" s="7" t="s">
        <v>112</v>
      </c>
      <c r="D1249" s="7">
        <v>5</v>
      </c>
      <c r="E1249" s="7" t="s">
        <v>179</v>
      </c>
      <c r="F1249" s="9">
        <v>5.86</v>
      </c>
    </row>
    <row r="1250" spans="1:6" x14ac:dyDescent="0.35">
      <c r="A1250" s="10">
        <v>1366</v>
      </c>
      <c r="B1250" s="7">
        <v>1</v>
      </c>
      <c r="C1250" s="7" t="s">
        <v>153</v>
      </c>
      <c r="D1250" s="7">
        <v>6</v>
      </c>
      <c r="E1250" s="7" t="s">
        <v>179</v>
      </c>
      <c r="F1250" s="9">
        <v>5.86</v>
      </c>
    </row>
    <row r="1251" spans="1:6" x14ac:dyDescent="0.35">
      <c r="A1251" s="10">
        <v>1366</v>
      </c>
      <c r="B1251" s="7">
        <v>2</v>
      </c>
      <c r="C1251" s="7" t="s">
        <v>79</v>
      </c>
      <c r="D1251" s="7">
        <v>3</v>
      </c>
      <c r="E1251" s="7" t="s">
        <v>192</v>
      </c>
      <c r="F1251" s="9">
        <v>2.09</v>
      </c>
    </row>
    <row r="1252" spans="1:6" x14ac:dyDescent="0.35">
      <c r="A1252" s="10">
        <v>1367</v>
      </c>
      <c r="B1252" s="7">
        <v>1</v>
      </c>
      <c r="C1252" s="7" t="s">
        <v>99</v>
      </c>
      <c r="D1252" s="7">
        <v>4</v>
      </c>
      <c r="E1252" s="7" t="s">
        <v>165</v>
      </c>
      <c r="F1252" s="9">
        <v>1.67</v>
      </c>
    </row>
    <row r="1253" spans="1:6" x14ac:dyDescent="0.35">
      <c r="A1253" s="10">
        <v>1367</v>
      </c>
      <c r="B1253" s="7">
        <v>2</v>
      </c>
      <c r="C1253" s="7" t="s">
        <v>133</v>
      </c>
      <c r="D1253" s="7">
        <v>6</v>
      </c>
      <c r="E1253" s="7" t="s">
        <v>175</v>
      </c>
      <c r="F1253" s="9">
        <v>4.18</v>
      </c>
    </row>
    <row r="1254" spans="1:6" x14ac:dyDescent="0.35">
      <c r="A1254" s="10">
        <v>1368</v>
      </c>
      <c r="B1254" s="7">
        <v>1</v>
      </c>
      <c r="C1254" s="7" t="s">
        <v>134</v>
      </c>
      <c r="D1254" s="7">
        <v>3</v>
      </c>
      <c r="E1254" s="7" t="s">
        <v>177</v>
      </c>
      <c r="F1254" s="9">
        <v>5.0199999999999996</v>
      </c>
    </row>
    <row r="1255" spans="1:6" x14ac:dyDescent="0.35">
      <c r="A1255" s="10">
        <v>1368</v>
      </c>
      <c r="B1255" s="7">
        <v>2</v>
      </c>
      <c r="C1255" s="7" t="s">
        <v>114</v>
      </c>
      <c r="D1255" s="7">
        <v>1</v>
      </c>
      <c r="E1255" s="7" t="s">
        <v>197</v>
      </c>
      <c r="F1255" s="9">
        <v>3.76</v>
      </c>
    </row>
    <row r="1256" spans="1:6" x14ac:dyDescent="0.35">
      <c r="A1256" s="10">
        <v>1368</v>
      </c>
      <c r="B1256" s="7">
        <v>3</v>
      </c>
      <c r="C1256" s="7" t="s">
        <v>81</v>
      </c>
      <c r="D1256" s="7">
        <v>2</v>
      </c>
      <c r="E1256" s="7" t="s">
        <v>177</v>
      </c>
      <c r="F1256" s="9">
        <v>5.0199999999999996</v>
      </c>
    </row>
    <row r="1257" spans="1:6" x14ac:dyDescent="0.35">
      <c r="A1257" s="10">
        <v>1368</v>
      </c>
      <c r="B1257" s="7">
        <v>4</v>
      </c>
      <c r="C1257" s="7" t="s">
        <v>115</v>
      </c>
      <c r="D1257" s="7">
        <v>3</v>
      </c>
      <c r="E1257" s="7" t="s">
        <v>192</v>
      </c>
      <c r="F1257" s="9">
        <v>2.09</v>
      </c>
    </row>
    <row r="1258" spans="1:6" x14ac:dyDescent="0.35">
      <c r="A1258" s="10">
        <v>1369</v>
      </c>
      <c r="B1258" s="7">
        <v>1</v>
      </c>
      <c r="C1258" s="7" t="s">
        <v>140</v>
      </c>
      <c r="D1258" s="7">
        <v>1</v>
      </c>
      <c r="E1258" s="7" t="s">
        <v>167</v>
      </c>
      <c r="F1258" s="9">
        <v>8.3699999999999992</v>
      </c>
    </row>
    <row r="1259" spans="1:6" x14ac:dyDescent="0.35">
      <c r="A1259" s="10">
        <v>1369</v>
      </c>
      <c r="B1259" s="7">
        <v>2</v>
      </c>
      <c r="C1259" s="7" t="s">
        <v>149</v>
      </c>
      <c r="D1259" s="7">
        <v>7</v>
      </c>
      <c r="E1259" s="7" t="s">
        <v>175</v>
      </c>
      <c r="F1259" s="9">
        <v>4.18</v>
      </c>
    </row>
    <row r="1260" spans="1:6" x14ac:dyDescent="0.35">
      <c r="A1260" s="10">
        <v>1369</v>
      </c>
      <c r="B1260" s="7">
        <v>3</v>
      </c>
      <c r="C1260" s="7" t="s">
        <v>64</v>
      </c>
      <c r="D1260" s="7">
        <v>2</v>
      </c>
      <c r="E1260" s="7" t="s">
        <v>167</v>
      </c>
      <c r="F1260" s="9">
        <v>8.3699999999999992</v>
      </c>
    </row>
    <row r="1261" spans="1:6" x14ac:dyDescent="0.35">
      <c r="A1261" s="10">
        <v>1369</v>
      </c>
      <c r="B1261" s="7">
        <v>4</v>
      </c>
      <c r="C1261" s="7" t="s">
        <v>71</v>
      </c>
      <c r="D1261" s="7">
        <v>4</v>
      </c>
      <c r="E1261" s="7" t="s">
        <v>165</v>
      </c>
      <c r="F1261" s="9">
        <v>1.67</v>
      </c>
    </row>
    <row r="1262" spans="1:6" x14ac:dyDescent="0.35">
      <c r="A1262" s="10">
        <v>1370</v>
      </c>
      <c r="B1262" s="7">
        <v>1</v>
      </c>
      <c r="C1262" s="7" t="s">
        <v>131</v>
      </c>
      <c r="D1262" s="7">
        <v>4</v>
      </c>
      <c r="E1262" s="7" t="s">
        <v>167</v>
      </c>
      <c r="F1262" s="9">
        <v>8.3699999999999992</v>
      </c>
    </row>
    <row r="1263" spans="1:6" x14ac:dyDescent="0.35">
      <c r="A1263" s="10">
        <v>1370</v>
      </c>
      <c r="B1263" s="7">
        <v>2</v>
      </c>
      <c r="C1263" s="7" t="s">
        <v>98</v>
      </c>
      <c r="D1263" s="7">
        <v>2</v>
      </c>
      <c r="E1263" s="7" t="s">
        <v>165</v>
      </c>
      <c r="F1263" s="9">
        <v>1.67</v>
      </c>
    </row>
    <row r="1264" spans="1:6" x14ac:dyDescent="0.35">
      <c r="A1264" s="10">
        <v>1370</v>
      </c>
      <c r="B1264" s="7">
        <v>3</v>
      </c>
      <c r="C1264" s="7" t="s">
        <v>129</v>
      </c>
      <c r="D1264" s="7">
        <v>5</v>
      </c>
      <c r="E1264" s="7" t="s">
        <v>167</v>
      </c>
      <c r="F1264" s="9">
        <v>8.3699999999999992</v>
      </c>
    </row>
    <row r="1265" spans="1:6" x14ac:dyDescent="0.35">
      <c r="A1265" s="10">
        <v>1370</v>
      </c>
      <c r="B1265" s="7">
        <v>4</v>
      </c>
      <c r="C1265" s="7" t="s">
        <v>108</v>
      </c>
      <c r="D1265" s="7">
        <v>6</v>
      </c>
      <c r="E1265" s="7" t="s">
        <v>177</v>
      </c>
      <c r="F1265" s="9">
        <v>5.0199999999999996</v>
      </c>
    </row>
    <row r="1266" spans="1:6" x14ac:dyDescent="0.35">
      <c r="A1266" s="10">
        <v>1371</v>
      </c>
      <c r="B1266" s="7">
        <v>1</v>
      </c>
      <c r="C1266" s="7" t="s">
        <v>106</v>
      </c>
      <c r="D1266" s="7">
        <v>2</v>
      </c>
      <c r="E1266" s="7" t="s">
        <v>167</v>
      </c>
      <c r="F1266" s="9">
        <v>8.3699999999999992</v>
      </c>
    </row>
    <row r="1267" spans="1:6" x14ac:dyDescent="0.35">
      <c r="A1267" s="10">
        <v>1371</v>
      </c>
      <c r="B1267" s="7">
        <v>2</v>
      </c>
      <c r="C1267" s="7" t="s">
        <v>105</v>
      </c>
      <c r="D1267" s="7">
        <v>6</v>
      </c>
      <c r="E1267" s="7" t="s">
        <v>165</v>
      </c>
      <c r="F1267" s="9">
        <v>1.67</v>
      </c>
    </row>
    <row r="1268" spans="1:6" x14ac:dyDescent="0.35">
      <c r="A1268" s="10">
        <v>1371</v>
      </c>
      <c r="B1268" s="7">
        <v>3</v>
      </c>
      <c r="C1268" s="7" t="s">
        <v>130</v>
      </c>
      <c r="D1268" s="7">
        <v>6</v>
      </c>
      <c r="E1268" s="7" t="s">
        <v>165</v>
      </c>
      <c r="F1268" s="9">
        <v>1.67</v>
      </c>
    </row>
    <row r="1269" spans="1:6" x14ac:dyDescent="0.35">
      <c r="A1269" s="10">
        <v>1371</v>
      </c>
      <c r="B1269" s="7">
        <v>4</v>
      </c>
      <c r="C1269" s="7" t="s">
        <v>134</v>
      </c>
      <c r="D1269" s="7">
        <v>1</v>
      </c>
      <c r="E1269" s="7" t="s">
        <v>177</v>
      </c>
      <c r="F1269" s="9">
        <v>5.0199999999999996</v>
      </c>
    </row>
    <row r="1270" spans="1:6" x14ac:dyDescent="0.35">
      <c r="A1270" s="10">
        <v>1372</v>
      </c>
      <c r="B1270" s="7">
        <v>1</v>
      </c>
      <c r="C1270" s="7" t="s">
        <v>152</v>
      </c>
      <c r="D1270" s="7">
        <v>7</v>
      </c>
      <c r="E1270" s="7" t="s">
        <v>177</v>
      </c>
      <c r="F1270" s="9">
        <v>5.0199999999999996</v>
      </c>
    </row>
    <row r="1271" spans="1:6" x14ac:dyDescent="0.35">
      <c r="A1271" s="10">
        <v>1372</v>
      </c>
      <c r="B1271" s="7">
        <v>2</v>
      </c>
      <c r="C1271" s="7" t="s">
        <v>86</v>
      </c>
      <c r="D1271" s="7">
        <v>6</v>
      </c>
      <c r="E1271" s="7" t="s">
        <v>177</v>
      </c>
      <c r="F1271" s="9">
        <v>5.0199999999999996</v>
      </c>
    </row>
    <row r="1272" spans="1:6" x14ac:dyDescent="0.35">
      <c r="A1272" s="10">
        <v>1372</v>
      </c>
      <c r="B1272" s="7">
        <v>3</v>
      </c>
      <c r="C1272" s="7" t="s">
        <v>149</v>
      </c>
      <c r="D1272" s="7">
        <v>4</v>
      </c>
      <c r="E1272" s="7" t="s">
        <v>175</v>
      </c>
      <c r="F1272" s="9">
        <v>4.18</v>
      </c>
    </row>
    <row r="1273" spans="1:6" x14ac:dyDescent="0.35">
      <c r="A1273" s="10">
        <v>1372</v>
      </c>
      <c r="B1273" s="7">
        <v>4</v>
      </c>
      <c r="C1273" s="7" t="s">
        <v>145</v>
      </c>
      <c r="D1273" s="7">
        <v>7</v>
      </c>
      <c r="E1273" s="7" t="s">
        <v>179</v>
      </c>
      <c r="F1273" s="9">
        <v>5.86</v>
      </c>
    </row>
    <row r="1274" spans="1:6" x14ac:dyDescent="0.35">
      <c r="A1274" s="10">
        <v>1373</v>
      </c>
      <c r="B1274" s="7">
        <v>1</v>
      </c>
      <c r="C1274" s="7" t="s">
        <v>114</v>
      </c>
      <c r="D1274" s="7">
        <v>3</v>
      </c>
      <c r="E1274" s="7" t="s">
        <v>197</v>
      </c>
      <c r="F1274" s="9">
        <v>3.76</v>
      </c>
    </row>
    <row r="1275" spans="1:6" x14ac:dyDescent="0.35">
      <c r="A1275" s="10">
        <v>1373</v>
      </c>
      <c r="B1275" s="7">
        <v>2</v>
      </c>
      <c r="C1275" s="7" t="s">
        <v>134</v>
      </c>
      <c r="D1275" s="7">
        <v>6</v>
      </c>
      <c r="E1275" s="7" t="s">
        <v>177</v>
      </c>
      <c r="F1275" s="9">
        <v>5.0199999999999996</v>
      </c>
    </row>
    <row r="1276" spans="1:6" x14ac:dyDescent="0.35">
      <c r="A1276" s="10">
        <v>1373</v>
      </c>
      <c r="B1276" s="7">
        <v>3</v>
      </c>
      <c r="C1276" s="7" t="s">
        <v>86</v>
      </c>
      <c r="D1276" s="7">
        <v>7</v>
      </c>
      <c r="E1276" s="7" t="s">
        <v>177</v>
      </c>
      <c r="F1276" s="9">
        <v>5.0199999999999996</v>
      </c>
    </row>
    <row r="1277" spans="1:6" x14ac:dyDescent="0.35">
      <c r="A1277" s="10">
        <v>1373</v>
      </c>
      <c r="B1277" s="7">
        <v>4</v>
      </c>
      <c r="C1277" s="7" t="s">
        <v>73</v>
      </c>
      <c r="D1277" s="7">
        <v>3</v>
      </c>
      <c r="E1277" s="7" t="s">
        <v>165</v>
      </c>
      <c r="F1277" s="9">
        <v>1.67</v>
      </c>
    </row>
    <row r="1278" spans="1:6" x14ac:dyDescent="0.35">
      <c r="A1278" s="10">
        <v>1373</v>
      </c>
      <c r="B1278" s="7">
        <v>5</v>
      </c>
      <c r="C1278" s="7" t="s">
        <v>99</v>
      </c>
      <c r="D1278" s="7">
        <v>7</v>
      </c>
      <c r="E1278" s="7" t="s">
        <v>165</v>
      </c>
      <c r="F1278" s="9">
        <v>1.67</v>
      </c>
    </row>
    <row r="1279" spans="1:6" x14ac:dyDescent="0.35">
      <c r="A1279" s="10">
        <v>1374</v>
      </c>
      <c r="B1279" s="7">
        <v>1</v>
      </c>
      <c r="C1279" s="7" t="s">
        <v>116</v>
      </c>
      <c r="D1279" s="7">
        <v>5</v>
      </c>
      <c r="E1279" s="7" t="s">
        <v>165</v>
      </c>
      <c r="F1279" s="9">
        <v>1.67</v>
      </c>
    </row>
    <row r="1280" spans="1:6" x14ac:dyDescent="0.35">
      <c r="A1280" s="10">
        <v>1374</v>
      </c>
      <c r="B1280" s="7">
        <v>2</v>
      </c>
      <c r="C1280" s="7" t="s">
        <v>94</v>
      </c>
      <c r="D1280" s="7">
        <v>5</v>
      </c>
      <c r="E1280" s="7" t="s">
        <v>170</v>
      </c>
      <c r="F1280" s="9">
        <v>6.69</v>
      </c>
    </row>
    <row r="1281" spans="1:6" x14ac:dyDescent="0.35">
      <c r="A1281" s="10">
        <v>1374</v>
      </c>
      <c r="B1281" s="7">
        <v>3</v>
      </c>
      <c r="C1281" s="7" t="s">
        <v>57</v>
      </c>
      <c r="D1281" s="7">
        <v>3</v>
      </c>
      <c r="E1281" s="7" t="s">
        <v>170</v>
      </c>
      <c r="F1281" s="9">
        <v>6.69</v>
      </c>
    </row>
    <row r="1282" spans="1:6" x14ac:dyDescent="0.35">
      <c r="A1282" s="10">
        <v>1374</v>
      </c>
      <c r="B1282" s="7">
        <v>4</v>
      </c>
      <c r="C1282" s="7" t="s">
        <v>81</v>
      </c>
      <c r="D1282" s="7">
        <v>7</v>
      </c>
      <c r="E1282" s="7" t="s">
        <v>177</v>
      </c>
      <c r="F1282" s="9">
        <v>5.0199999999999996</v>
      </c>
    </row>
    <row r="1283" spans="1:6" x14ac:dyDescent="0.35">
      <c r="A1283" s="10">
        <v>1375</v>
      </c>
      <c r="B1283" s="7">
        <v>1</v>
      </c>
      <c r="C1283" s="7" t="s">
        <v>120</v>
      </c>
      <c r="D1283" s="7">
        <v>6</v>
      </c>
      <c r="E1283" s="7" t="s">
        <v>197</v>
      </c>
      <c r="F1283" s="9">
        <v>3.76</v>
      </c>
    </row>
    <row r="1284" spans="1:6" x14ac:dyDescent="0.35">
      <c r="A1284" s="10">
        <v>1375</v>
      </c>
      <c r="B1284" s="7">
        <v>2</v>
      </c>
      <c r="C1284" s="7" t="s">
        <v>101</v>
      </c>
      <c r="D1284" s="7">
        <v>2</v>
      </c>
      <c r="E1284" s="7" t="s">
        <v>179</v>
      </c>
      <c r="F1284" s="9">
        <v>5.86</v>
      </c>
    </row>
    <row r="1285" spans="1:6" x14ac:dyDescent="0.35">
      <c r="A1285" s="10">
        <v>1376</v>
      </c>
      <c r="B1285" s="7">
        <v>1</v>
      </c>
      <c r="C1285" s="7" t="s">
        <v>114</v>
      </c>
      <c r="D1285" s="7">
        <v>2</v>
      </c>
      <c r="E1285" s="7" t="s">
        <v>197</v>
      </c>
      <c r="F1285" s="9">
        <v>3.76</v>
      </c>
    </row>
    <row r="1286" spans="1:6" x14ac:dyDescent="0.35">
      <c r="A1286" s="10">
        <v>1376</v>
      </c>
      <c r="B1286" s="7">
        <v>2</v>
      </c>
      <c r="C1286" s="7" t="s">
        <v>125</v>
      </c>
      <c r="D1286" s="7">
        <v>7</v>
      </c>
      <c r="E1286" s="7" t="s">
        <v>170</v>
      </c>
      <c r="F1286" s="9">
        <v>6.69</v>
      </c>
    </row>
    <row r="1287" spans="1:6" x14ac:dyDescent="0.35">
      <c r="A1287" s="10">
        <v>1376</v>
      </c>
      <c r="B1287" s="7">
        <v>3</v>
      </c>
      <c r="C1287" s="7" t="s">
        <v>129</v>
      </c>
      <c r="D1287" s="7">
        <v>4</v>
      </c>
      <c r="E1287" s="7" t="s">
        <v>167</v>
      </c>
      <c r="F1287" s="9">
        <v>8.3699999999999992</v>
      </c>
    </row>
    <row r="1288" spans="1:6" x14ac:dyDescent="0.35">
      <c r="A1288" s="10">
        <v>1376</v>
      </c>
      <c r="B1288" s="7">
        <v>4</v>
      </c>
      <c r="C1288" s="7" t="s">
        <v>73</v>
      </c>
      <c r="D1288" s="7">
        <v>6</v>
      </c>
      <c r="E1288" s="7" t="s">
        <v>165</v>
      </c>
      <c r="F1288" s="9">
        <v>1.67</v>
      </c>
    </row>
    <row r="1289" spans="1:6" x14ac:dyDescent="0.35">
      <c r="A1289" s="10">
        <v>1377</v>
      </c>
      <c r="B1289" s="7">
        <v>1</v>
      </c>
      <c r="C1289" s="7" t="s">
        <v>73</v>
      </c>
      <c r="D1289" s="7">
        <v>1</v>
      </c>
      <c r="E1289" s="7" t="s">
        <v>165</v>
      </c>
      <c r="F1289" s="9">
        <v>1.67</v>
      </c>
    </row>
    <row r="1290" spans="1:6" x14ac:dyDescent="0.35">
      <c r="A1290" s="10">
        <v>1377</v>
      </c>
      <c r="B1290" s="7">
        <v>2</v>
      </c>
      <c r="C1290" s="7" t="s">
        <v>120</v>
      </c>
      <c r="D1290" s="7">
        <v>1</v>
      </c>
      <c r="E1290" s="7" t="s">
        <v>197</v>
      </c>
      <c r="F1290" s="9">
        <v>3.76</v>
      </c>
    </row>
    <row r="1291" spans="1:6" x14ac:dyDescent="0.35">
      <c r="A1291" s="10">
        <v>1377</v>
      </c>
      <c r="B1291" s="7">
        <v>3</v>
      </c>
      <c r="C1291" s="7" t="s">
        <v>78</v>
      </c>
      <c r="D1291" s="7">
        <v>7</v>
      </c>
      <c r="E1291" s="7" t="s">
        <v>179</v>
      </c>
      <c r="F1291" s="9">
        <v>5.86</v>
      </c>
    </row>
    <row r="1292" spans="1:6" x14ac:dyDescent="0.35">
      <c r="A1292" s="10">
        <v>1377</v>
      </c>
      <c r="B1292" s="7">
        <v>4</v>
      </c>
      <c r="C1292" s="7" t="s">
        <v>132</v>
      </c>
      <c r="D1292" s="7">
        <v>7</v>
      </c>
      <c r="E1292" s="7" t="s">
        <v>170</v>
      </c>
      <c r="F1292" s="9">
        <v>6.69</v>
      </c>
    </row>
    <row r="1293" spans="1:6" x14ac:dyDescent="0.35">
      <c r="A1293" s="10">
        <v>1377</v>
      </c>
      <c r="B1293" s="7">
        <v>5</v>
      </c>
      <c r="C1293" s="7" t="s">
        <v>60</v>
      </c>
      <c r="D1293" s="7">
        <v>2</v>
      </c>
      <c r="E1293" s="7" t="s">
        <v>165</v>
      </c>
      <c r="F1293" s="9">
        <v>1.67</v>
      </c>
    </row>
    <row r="1294" spans="1:6" x14ac:dyDescent="0.35">
      <c r="A1294" s="10">
        <v>1378</v>
      </c>
      <c r="B1294" s="7">
        <v>1</v>
      </c>
      <c r="C1294" s="7" t="s">
        <v>63</v>
      </c>
      <c r="D1294" s="7">
        <v>3</v>
      </c>
      <c r="E1294" s="7" t="s">
        <v>165</v>
      </c>
      <c r="F1294" s="9">
        <v>1.67</v>
      </c>
    </row>
    <row r="1295" spans="1:6" x14ac:dyDescent="0.35">
      <c r="A1295" s="10">
        <v>1378</v>
      </c>
      <c r="B1295" s="7">
        <v>2</v>
      </c>
      <c r="C1295" s="7" t="s">
        <v>92</v>
      </c>
      <c r="D1295" s="7">
        <v>1</v>
      </c>
      <c r="E1295" s="7" t="s">
        <v>179</v>
      </c>
      <c r="F1295" s="9">
        <v>5.86</v>
      </c>
    </row>
    <row r="1296" spans="1:6" x14ac:dyDescent="0.35">
      <c r="A1296" s="10">
        <v>1378</v>
      </c>
      <c r="B1296" s="7">
        <v>3</v>
      </c>
      <c r="C1296" s="7" t="s">
        <v>143</v>
      </c>
      <c r="D1296" s="7">
        <v>4</v>
      </c>
      <c r="E1296" s="7" t="s">
        <v>167</v>
      </c>
      <c r="F1296" s="9">
        <v>8.3699999999999992</v>
      </c>
    </row>
    <row r="1297" spans="1:6" x14ac:dyDescent="0.35">
      <c r="A1297" s="10">
        <v>1378</v>
      </c>
      <c r="B1297" s="7">
        <v>4</v>
      </c>
      <c r="C1297" s="7" t="s">
        <v>78</v>
      </c>
      <c r="D1297" s="7">
        <v>6</v>
      </c>
      <c r="E1297" s="7" t="s">
        <v>179</v>
      </c>
      <c r="F1297" s="9">
        <v>5.86</v>
      </c>
    </row>
    <row r="1298" spans="1:6" x14ac:dyDescent="0.35">
      <c r="A1298" s="10">
        <v>1378</v>
      </c>
      <c r="B1298" s="7">
        <v>5</v>
      </c>
      <c r="C1298" s="7" t="s">
        <v>98</v>
      </c>
      <c r="D1298" s="7">
        <v>4</v>
      </c>
      <c r="E1298" s="7" t="s">
        <v>165</v>
      </c>
      <c r="F1298" s="9">
        <v>1.67</v>
      </c>
    </row>
    <row r="1299" spans="1:6" x14ac:dyDescent="0.35">
      <c r="A1299" s="10">
        <v>1379</v>
      </c>
      <c r="B1299" s="7">
        <v>1</v>
      </c>
      <c r="C1299" s="7" t="s">
        <v>77</v>
      </c>
      <c r="D1299" s="7">
        <v>3</v>
      </c>
      <c r="E1299" s="7" t="s">
        <v>165</v>
      </c>
      <c r="F1299" s="9">
        <v>1.67</v>
      </c>
    </row>
    <row r="1300" spans="1:6" x14ac:dyDescent="0.35">
      <c r="A1300" s="10">
        <v>1379</v>
      </c>
      <c r="B1300" s="7">
        <v>2</v>
      </c>
      <c r="C1300" s="7" t="s">
        <v>121</v>
      </c>
      <c r="D1300" s="7">
        <v>3</v>
      </c>
      <c r="E1300" s="7" t="s">
        <v>197</v>
      </c>
      <c r="F1300" s="9">
        <v>3.76</v>
      </c>
    </row>
    <row r="1301" spans="1:6" x14ac:dyDescent="0.35">
      <c r="A1301" s="10">
        <v>1379</v>
      </c>
      <c r="B1301" s="7">
        <v>3</v>
      </c>
      <c r="C1301" s="7" t="s">
        <v>64</v>
      </c>
      <c r="D1301" s="7">
        <v>5</v>
      </c>
      <c r="E1301" s="7" t="s">
        <v>167</v>
      </c>
      <c r="F1301" s="9">
        <v>8.3699999999999992</v>
      </c>
    </row>
    <row r="1302" spans="1:6" x14ac:dyDescent="0.35">
      <c r="A1302" s="10">
        <v>1379</v>
      </c>
      <c r="B1302" s="7">
        <v>4</v>
      </c>
      <c r="C1302" s="7" t="s">
        <v>152</v>
      </c>
      <c r="D1302" s="7">
        <v>4</v>
      </c>
      <c r="E1302" s="7" t="s">
        <v>177</v>
      </c>
      <c r="F1302" s="9">
        <v>5.0199999999999996</v>
      </c>
    </row>
    <row r="1303" spans="1:6" x14ac:dyDescent="0.35">
      <c r="A1303" s="10">
        <v>1380</v>
      </c>
      <c r="B1303" s="7">
        <v>1</v>
      </c>
      <c r="C1303" s="7" t="s">
        <v>91</v>
      </c>
      <c r="D1303" s="7">
        <v>3</v>
      </c>
      <c r="E1303" s="7" t="s">
        <v>170</v>
      </c>
      <c r="F1303" s="9">
        <v>6.69</v>
      </c>
    </row>
    <row r="1304" spans="1:6" x14ac:dyDescent="0.35">
      <c r="A1304" s="10">
        <v>1380</v>
      </c>
      <c r="B1304" s="7">
        <v>2</v>
      </c>
      <c r="C1304" s="7" t="s">
        <v>89</v>
      </c>
      <c r="D1304" s="7">
        <v>4</v>
      </c>
      <c r="E1304" s="7" t="s">
        <v>165</v>
      </c>
      <c r="F1304" s="9">
        <v>1.67</v>
      </c>
    </row>
    <row r="1305" spans="1:6" x14ac:dyDescent="0.35">
      <c r="A1305" s="10">
        <v>1381</v>
      </c>
      <c r="B1305" s="7">
        <v>1</v>
      </c>
      <c r="C1305" s="7" t="s">
        <v>112</v>
      </c>
      <c r="D1305" s="7">
        <v>1</v>
      </c>
      <c r="E1305" s="7" t="s">
        <v>179</v>
      </c>
      <c r="F1305" s="9">
        <v>5.86</v>
      </c>
    </row>
    <row r="1306" spans="1:6" x14ac:dyDescent="0.35">
      <c r="A1306" s="10">
        <v>1381</v>
      </c>
      <c r="B1306" s="7">
        <v>2</v>
      </c>
      <c r="C1306" s="7" t="s">
        <v>94</v>
      </c>
      <c r="D1306" s="7">
        <v>5</v>
      </c>
      <c r="E1306" s="7" t="s">
        <v>170</v>
      </c>
      <c r="F1306" s="9">
        <v>6.69</v>
      </c>
    </row>
    <row r="1307" spans="1:6" x14ac:dyDescent="0.35">
      <c r="A1307" s="10">
        <v>1381</v>
      </c>
      <c r="B1307" s="7">
        <v>3</v>
      </c>
      <c r="C1307" s="7" t="s">
        <v>73</v>
      </c>
      <c r="D1307" s="7">
        <v>2</v>
      </c>
      <c r="E1307" s="7" t="s">
        <v>165</v>
      </c>
      <c r="F1307" s="9">
        <v>1.67</v>
      </c>
    </row>
    <row r="1308" spans="1:6" x14ac:dyDescent="0.35">
      <c r="A1308" s="10">
        <v>1381</v>
      </c>
      <c r="B1308" s="7">
        <v>4</v>
      </c>
      <c r="C1308" s="7" t="s">
        <v>130</v>
      </c>
      <c r="D1308" s="7">
        <v>1</v>
      </c>
      <c r="E1308" s="7" t="s">
        <v>165</v>
      </c>
      <c r="F1308" s="9">
        <v>1.67</v>
      </c>
    </row>
    <row r="1309" spans="1:6" x14ac:dyDescent="0.35">
      <c r="A1309" s="10">
        <v>1382</v>
      </c>
      <c r="B1309" s="7">
        <v>1</v>
      </c>
      <c r="C1309" s="7" t="s">
        <v>79</v>
      </c>
      <c r="D1309" s="7">
        <v>7</v>
      </c>
      <c r="E1309" s="7" t="s">
        <v>192</v>
      </c>
      <c r="F1309" s="9">
        <v>2.09</v>
      </c>
    </row>
    <row r="1310" spans="1:6" x14ac:dyDescent="0.35">
      <c r="A1310" s="10">
        <v>1382</v>
      </c>
      <c r="B1310" s="7">
        <v>2</v>
      </c>
      <c r="C1310" s="7" t="s">
        <v>146</v>
      </c>
      <c r="D1310" s="7">
        <v>6</v>
      </c>
      <c r="E1310" s="7" t="s">
        <v>175</v>
      </c>
      <c r="F1310" s="9">
        <v>4.18</v>
      </c>
    </row>
    <row r="1311" spans="1:6" x14ac:dyDescent="0.35">
      <c r="A1311" s="10">
        <v>1382</v>
      </c>
      <c r="B1311" s="7">
        <v>3</v>
      </c>
      <c r="C1311" s="7" t="s">
        <v>92</v>
      </c>
      <c r="D1311" s="7">
        <v>4</v>
      </c>
      <c r="E1311" s="7" t="s">
        <v>179</v>
      </c>
      <c r="F1311" s="9">
        <v>5.86</v>
      </c>
    </row>
    <row r="1312" spans="1:6" x14ac:dyDescent="0.35">
      <c r="A1312" s="10">
        <v>1382</v>
      </c>
      <c r="B1312" s="7">
        <v>4</v>
      </c>
      <c r="C1312" s="7" t="s">
        <v>74</v>
      </c>
      <c r="D1312" s="7">
        <v>4</v>
      </c>
      <c r="E1312" s="7" t="s">
        <v>165</v>
      </c>
      <c r="F1312" s="9">
        <v>1.67</v>
      </c>
    </row>
    <row r="1313" spans="1:6" x14ac:dyDescent="0.35">
      <c r="A1313" s="10">
        <v>1383</v>
      </c>
      <c r="B1313" s="7">
        <v>1</v>
      </c>
      <c r="C1313" s="7" t="s">
        <v>134</v>
      </c>
      <c r="D1313" s="7">
        <v>5</v>
      </c>
      <c r="E1313" s="7" t="s">
        <v>177</v>
      </c>
      <c r="F1313" s="9">
        <v>5.0199999999999996</v>
      </c>
    </row>
    <row r="1314" spans="1:6" x14ac:dyDescent="0.35">
      <c r="A1314" s="10">
        <v>1383</v>
      </c>
      <c r="B1314" s="7">
        <v>2</v>
      </c>
      <c r="C1314" s="7" t="s">
        <v>149</v>
      </c>
      <c r="D1314" s="7">
        <v>7</v>
      </c>
      <c r="E1314" s="7" t="s">
        <v>175</v>
      </c>
      <c r="F1314" s="9">
        <v>4.18</v>
      </c>
    </row>
    <row r="1315" spans="1:6" x14ac:dyDescent="0.35">
      <c r="A1315" s="10">
        <v>1383</v>
      </c>
      <c r="B1315" s="7">
        <v>3</v>
      </c>
      <c r="C1315" s="7" t="s">
        <v>130</v>
      </c>
      <c r="D1315" s="7">
        <v>7</v>
      </c>
      <c r="E1315" s="7" t="s">
        <v>165</v>
      </c>
      <c r="F1315" s="9">
        <v>1.67</v>
      </c>
    </row>
    <row r="1316" spans="1:6" x14ac:dyDescent="0.35">
      <c r="A1316" s="10">
        <v>1383</v>
      </c>
      <c r="B1316" s="7">
        <v>4</v>
      </c>
      <c r="C1316" s="7" t="s">
        <v>91</v>
      </c>
      <c r="D1316" s="7">
        <v>1</v>
      </c>
      <c r="E1316" s="7" t="s">
        <v>170</v>
      </c>
      <c r="F1316" s="9">
        <v>6.69</v>
      </c>
    </row>
    <row r="1317" spans="1:6" x14ac:dyDescent="0.35">
      <c r="A1317" s="10">
        <v>1384</v>
      </c>
      <c r="B1317" s="7">
        <v>1</v>
      </c>
      <c r="C1317" s="7" t="s">
        <v>144</v>
      </c>
      <c r="D1317" s="7">
        <v>4</v>
      </c>
      <c r="E1317" s="7" t="s">
        <v>177</v>
      </c>
      <c r="F1317" s="9">
        <v>5.0199999999999996</v>
      </c>
    </row>
    <row r="1318" spans="1:6" x14ac:dyDescent="0.35">
      <c r="A1318" s="10">
        <v>1384</v>
      </c>
      <c r="B1318" s="7">
        <v>2</v>
      </c>
      <c r="C1318" s="7" t="s">
        <v>95</v>
      </c>
      <c r="D1318" s="7">
        <v>5</v>
      </c>
      <c r="E1318" s="7" t="s">
        <v>197</v>
      </c>
      <c r="F1318" s="9">
        <v>3.76</v>
      </c>
    </row>
    <row r="1319" spans="1:6" x14ac:dyDescent="0.35">
      <c r="A1319" s="10">
        <v>1384</v>
      </c>
      <c r="B1319" s="7">
        <v>3</v>
      </c>
      <c r="C1319" s="7" t="s">
        <v>84</v>
      </c>
      <c r="D1319" s="7">
        <v>4</v>
      </c>
      <c r="E1319" s="7" t="s">
        <v>192</v>
      </c>
      <c r="F1319" s="9">
        <v>2.09</v>
      </c>
    </row>
    <row r="1320" spans="1:6" x14ac:dyDescent="0.35">
      <c r="A1320" s="10">
        <v>1384</v>
      </c>
      <c r="B1320" s="7">
        <v>4</v>
      </c>
      <c r="C1320" s="7" t="s">
        <v>116</v>
      </c>
      <c r="D1320" s="7">
        <v>4</v>
      </c>
      <c r="E1320" s="7" t="s">
        <v>165</v>
      </c>
      <c r="F1320" s="9">
        <v>1.67</v>
      </c>
    </row>
    <row r="1321" spans="1:6" x14ac:dyDescent="0.35">
      <c r="A1321" s="10">
        <v>1384</v>
      </c>
      <c r="B1321" s="7">
        <v>5</v>
      </c>
      <c r="C1321" s="7" t="s">
        <v>101</v>
      </c>
      <c r="D1321" s="7">
        <v>5</v>
      </c>
      <c r="E1321" s="7" t="s">
        <v>179</v>
      </c>
      <c r="F1321" s="9">
        <v>5.86</v>
      </c>
    </row>
    <row r="1322" spans="1:6" x14ac:dyDescent="0.35">
      <c r="A1322" s="10">
        <v>1385</v>
      </c>
      <c r="B1322" s="7">
        <v>1</v>
      </c>
      <c r="C1322" s="7" t="s">
        <v>104</v>
      </c>
      <c r="D1322" s="7">
        <v>7</v>
      </c>
      <c r="E1322" s="7" t="s">
        <v>192</v>
      </c>
      <c r="F1322" s="9">
        <v>2.09</v>
      </c>
    </row>
    <row r="1323" spans="1:6" x14ac:dyDescent="0.35">
      <c r="A1323" s="10">
        <v>1385</v>
      </c>
      <c r="B1323" s="7">
        <v>2</v>
      </c>
      <c r="C1323" s="7" t="s">
        <v>75</v>
      </c>
      <c r="D1323" s="7">
        <v>3</v>
      </c>
      <c r="E1323" s="7" t="s">
        <v>165</v>
      </c>
      <c r="F1323" s="9">
        <v>1.67</v>
      </c>
    </row>
    <row r="1324" spans="1:6" x14ac:dyDescent="0.35">
      <c r="A1324" s="10">
        <v>1385</v>
      </c>
      <c r="B1324" s="7">
        <v>3</v>
      </c>
      <c r="C1324" s="7" t="s">
        <v>87</v>
      </c>
      <c r="D1324" s="7">
        <v>6</v>
      </c>
      <c r="E1324" s="7" t="s">
        <v>165</v>
      </c>
      <c r="F1324" s="9">
        <v>1.67</v>
      </c>
    </row>
    <row r="1325" spans="1:6" x14ac:dyDescent="0.35">
      <c r="A1325" s="10">
        <v>1385</v>
      </c>
      <c r="B1325" s="7">
        <v>4</v>
      </c>
      <c r="C1325" s="7" t="s">
        <v>135</v>
      </c>
      <c r="D1325" s="7">
        <v>5</v>
      </c>
      <c r="E1325" s="7" t="s">
        <v>167</v>
      </c>
      <c r="F1325" s="9">
        <v>8.3699999999999992</v>
      </c>
    </row>
    <row r="1326" spans="1:6" x14ac:dyDescent="0.35">
      <c r="A1326" s="10">
        <v>1385</v>
      </c>
      <c r="B1326" s="7">
        <v>5</v>
      </c>
      <c r="C1326" s="7" t="s">
        <v>148</v>
      </c>
      <c r="D1326" s="7">
        <v>1</v>
      </c>
      <c r="E1326" s="7" t="s">
        <v>192</v>
      </c>
      <c r="F1326" s="9">
        <v>2.09</v>
      </c>
    </row>
    <row r="1327" spans="1:6" x14ac:dyDescent="0.35">
      <c r="A1327" s="10">
        <v>1386</v>
      </c>
      <c r="B1327" s="7">
        <v>1</v>
      </c>
      <c r="C1327" s="7" t="s">
        <v>157</v>
      </c>
      <c r="D1327" s="7">
        <v>1</v>
      </c>
      <c r="E1327" s="7" t="s">
        <v>165</v>
      </c>
      <c r="F1327" s="9">
        <v>1.67</v>
      </c>
    </row>
    <row r="1328" spans="1:6" x14ac:dyDescent="0.35">
      <c r="A1328" s="10">
        <v>1386</v>
      </c>
      <c r="B1328" s="7">
        <v>2</v>
      </c>
      <c r="C1328" s="7" t="s">
        <v>86</v>
      </c>
      <c r="D1328" s="7">
        <v>5</v>
      </c>
      <c r="E1328" s="7" t="s">
        <v>177</v>
      </c>
      <c r="F1328" s="9">
        <v>5.0199999999999996</v>
      </c>
    </row>
    <row r="1329" spans="1:6" x14ac:dyDescent="0.35">
      <c r="A1329" s="10">
        <v>1386</v>
      </c>
      <c r="B1329" s="7">
        <v>3</v>
      </c>
      <c r="C1329" s="7" t="s">
        <v>121</v>
      </c>
      <c r="D1329" s="7">
        <v>4</v>
      </c>
      <c r="E1329" s="7" t="s">
        <v>197</v>
      </c>
      <c r="F1329" s="9">
        <v>3.76</v>
      </c>
    </row>
    <row r="1330" spans="1:6" x14ac:dyDescent="0.35">
      <c r="A1330" s="10">
        <v>1386</v>
      </c>
      <c r="B1330" s="7">
        <v>4</v>
      </c>
      <c r="C1330" s="7" t="s">
        <v>80</v>
      </c>
      <c r="D1330" s="7">
        <v>7</v>
      </c>
      <c r="E1330" s="7" t="s">
        <v>165</v>
      </c>
      <c r="F1330" s="9">
        <v>1.67</v>
      </c>
    </row>
    <row r="1331" spans="1:6" x14ac:dyDescent="0.35">
      <c r="A1331" s="10">
        <v>1387</v>
      </c>
      <c r="B1331" s="7">
        <v>1</v>
      </c>
      <c r="C1331" s="7" t="s">
        <v>110</v>
      </c>
      <c r="D1331" s="7">
        <v>1</v>
      </c>
      <c r="E1331" s="7" t="s">
        <v>197</v>
      </c>
      <c r="F1331" s="9">
        <v>3.76</v>
      </c>
    </row>
    <row r="1332" spans="1:6" x14ac:dyDescent="0.35">
      <c r="A1332" s="10">
        <v>1387</v>
      </c>
      <c r="B1332" s="7">
        <v>2</v>
      </c>
      <c r="C1332" s="7" t="s">
        <v>60</v>
      </c>
      <c r="D1332" s="7">
        <v>7</v>
      </c>
      <c r="E1332" s="7" t="s">
        <v>165</v>
      </c>
      <c r="F1332" s="9">
        <v>1.67</v>
      </c>
    </row>
    <row r="1333" spans="1:6" x14ac:dyDescent="0.35">
      <c r="A1333" s="10">
        <v>1388</v>
      </c>
      <c r="B1333" s="7">
        <v>1</v>
      </c>
      <c r="C1333" s="7" t="s">
        <v>111</v>
      </c>
      <c r="D1333" s="7">
        <v>5</v>
      </c>
      <c r="E1333" s="7" t="s">
        <v>179</v>
      </c>
      <c r="F1333" s="9">
        <v>5.86</v>
      </c>
    </row>
    <row r="1334" spans="1:6" x14ac:dyDescent="0.35">
      <c r="A1334" s="10">
        <v>1388</v>
      </c>
      <c r="B1334" s="7">
        <v>2</v>
      </c>
      <c r="C1334" s="7" t="s">
        <v>90</v>
      </c>
      <c r="D1334" s="7">
        <v>6</v>
      </c>
      <c r="E1334" s="7" t="s">
        <v>165</v>
      </c>
      <c r="F1334" s="9">
        <v>1.67</v>
      </c>
    </row>
    <row r="1335" spans="1:6" x14ac:dyDescent="0.35">
      <c r="A1335" s="10">
        <v>1388</v>
      </c>
      <c r="B1335" s="7">
        <v>3</v>
      </c>
      <c r="C1335" s="7" t="s">
        <v>126</v>
      </c>
      <c r="D1335" s="7">
        <v>5</v>
      </c>
      <c r="E1335" s="7" t="s">
        <v>192</v>
      </c>
      <c r="F1335" s="9">
        <v>2.09</v>
      </c>
    </row>
    <row r="1336" spans="1:6" x14ac:dyDescent="0.35">
      <c r="A1336" s="10">
        <v>1388</v>
      </c>
      <c r="B1336" s="7">
        <v>4</v>
      </c>
      <c r="C1336" s="7" t="s">
        <v>84</v>
      </c>
      <c r="D1336" s="7">
        <v>5</v>
      </c>
      <c r="E1336" s="7" t="s">
        <v>192</v>
      </c>
      <c r="F1336" s="9">
        <v>2.09</v>
      </c>
    </row>
    <row r="1337" spans="1:6" x14ac:dyDescent="0.35">
      <c r="A1337" s="10">
        <v>1389</v>
      </c>
      <c r="B1337" s="7">
        <v>1</v>
      </c>
      <c r="C1337" s="7" t="s">
        <v>48</v>
      </c>
      <c r="D1337" s="7">
        <v>5</v>
      </c>
      <c r="E1337" s="7" t="s">
        <v>165</v>
      </c>
      <c r="F1337" s="9">
        <v>1.67</v>
      </c>
    </row>
    <row r="1338" spans="1:6" x14ac:dyDescent="0.35">
      <c r="A1338" s="10">
        <v>1389</v>
      </c>
      <c r="B1338" s="7">
        <v>2</v>
      </c>
      <c r="C1338" s="7" t="s">
        <v>140</v>
      </c>
      <c r="D1338" s="7">
        <v>3</v>
      </c>
      <c r="E1338" s="7" t="s">
        <v>167</v>
      </c>
      <c r="F1338" s="9">
        <v>8.3699999999999992</v>
      </c>
    </row>
    <row r="1339" spans="1:6" x14ac:dyDescent="0.35">
      <c r="A1339" s="10">
        <v>1389</v>
      </c>
      <c r="B1339" s="7">
        <v>3</v>
      </c>
      <c r="C1339" s="7" t="s">
        <v>81</v>
      </c>
      <c r="D1339" s="7">
        <v>6</v>
      </c>
      <c r="E1339" s="7" t="s">
        <v>177</v>
      </c>
      <c r="F1339" s="9">
        <v>5.0199999999999996</v>
      </c>
    </row>
    <row r="1340" spans="1:6" x14ac:dyDescent="0.35">
      <c r="A1340" s="10">
        <v>1389</v>
      </c>
      <c r="B1340" s="7">
        <v>4</v>
      </c>
      <c r="C1340" s="7" t="s">
        <v>83</v>
      </c>
      <c r="D1340" s="7">
        <v>4</v>
      </c>
      <c r="E1340" s="7" t="s">
        <v>197</v>
      </c>
      <c r="F1340" s="9">
        <v>3.76</v>
      </c>
    </row>
    <row r="1341" spans="1:6" x14ac:dyDescent="0.35">
      <c r="A1341" s="10">
        <v>1390</v>
      </c>
      <c r="B1341" s="7">
        <v>1</v>
      </c>
      <c r="C1341" s="7" t="s">
        <v>89</v>
      </c>
      <c r="D1341" s="7">
        <v>1</v>
      </c>
      <c r="E1341" s="7" t="s">
        <v>165</v>
      </c>
      <c r="F1341" s="9">
        <v>1.67</v>
      </c>
    </row>
    <row r="1342" spans="1:6" x14ac:dyDescent="0.35">
      <c r="A1342" s="10">
        <v>1390</v>
      </c>
      <c r="B1342" s="7">
        <v>2</v>
      </c>
      <c r="C1342" s="7" t="s">
        <v>90</v>
      </c>
      <c r="D1342" s="7">
        <v>3</v>
      </c>
      <c r="E1342" s="7" t="s">
        <v>165</v>
      </c>
      <c r="F1342" s="9">
        <v>1.67</v>
      </c>
    </row>
    <row r="1343" spans="1:6" x14ac:dyDescent="0.35">
      <c r="A1343" s="10">
        <v>1391</v>
      </c>
      <c r="B1343" s="7">
        <v>1</v>
      </c>
      <c r="C1343" s="7" t="s">
        <v>131</v>
      </c>
      <c r="D1343" s="7">
        <v>3</v>
      </c>
      <c r="E1343" s="7" t="s">
        <v>167</v>
      </c>
      <c r="F1343" s="9">
        <v>8.3699999999999992</v>
      </c>
    </row>
    <row r="1344" spans="1:6" x14ac:dyDescent="0.35">
      <c r="A1344" s="10">
        <v>1391</v>
      </c>
      <c r="B1344" s="7">
        <v>2</v>
      </c>
      <c r="C1344" s="7" t="s">
        <v>137</v>
      </c>
      <c r="D1344" s="7">
        <v>6</v>
      </c>
      <c r="E1344" s="7" t="s">
        <v>165</v>
      </c>
      <c r="F1344" s="9">
        <v>1.67</v>
      </c>
    </row>
    <row r="1345" spans="1:6" x14ac:dyDescent="0.35">
      <c r="A1345" s="10">
        <v>1391</v>
      </c>
      <c r="B1345" s="7">
        <v>3</v>
      </c>
      <c r="C1345" s="7" t="s">
        <v>127</v>
      </c>
      <c r="D1345" s="7">
        <v>3</v>
      </c>
      <c r="E1345" s="7" t="s">
        <v>177</v>
      </c>
      <c r="F1345" s="9">
        <v>5.0199999999999996</v>
      </c>
    </row>
    <row r="1346" spans="1:6" x14ac:dyDescent="0.35">
      <c r="A1346" s="10">
        <v>1391</v>
      </c>
      <c r="B1346" s="7">
        <v>4</v>
      </c>
      <c r="C1346" s="7" t="s">
        <v>99</v>
      </c>
      <c r="D1346" s="7">
        <v>4</v>
      </c>
      <c r="E1346" s="7" t="s">
        <v>165</v>
      </c>
      <c r="F1346" s="9">
        <v>1.67</v>
      </c>
    </row>
    <row r="1347" spans="1:6" x14ac:dyDescent="0.35">
      <c r="A1347" s="10">
        <v>1392</v>
      </c>
      <c r="B1347" s="7">
        <v>1</v>
      </c>
      <c r="C1347" s="7" t="s">
        <v>112</v>
      </c>
      <c r="D1347" s="7">
        <v>5</v>
      </c>
      <c r="E1347" s="7" t="s">
        <v>179</v>
      </c>
      <c r="F1347" s="9">
        <v>5.86</v>
      </c>
    </row>
    <row r="1348" spans="1:6" x14ac:dyDescent="0.35">
      <c r="A1348" s="10">
        <v>1392</v>
      </c>
      <c r="B1348" s="7">
        <v>2</v>
      </c>
      <c r="C1348" s="7" t="s">
        <v>102</v>
      </c>
      <c r="D1348" s="7">
        <v>2</v>
      </c>
      <c r="E1348" s="7" t="s">
        <v>192</v>
      </c>
      <c r="F1348" s="9">
        <v>2.09</v>
      </c>
    </row>
    <row r="1349" spans="1:6" x14ac:dyDescent="0.35">
      <c r="A1349" s="10">
        <v>1393</v>
      </c>
      <c r="B1349" s="7">
        <v>1</v>
      </c>
      <c r="C1349" s="7" t="s">
        <v>155</v>
      </c>
      <c r="D1349" s="7">
        <v>4</v>
      </c>
      <c r="E1349" s="7" t="s">
        <v>167</v>
      </c>
      <c r="F1349" s="9">
        <v>8.3699999999999992</v>
      </c>
    </row>
    <row r="1350" spans="1:6" x14ac:dyDescent="0.35">
      <c r="A1350" s="10">
        <v>1393</v>
      </c>
      <c r="B1350" s="7">
        <v>2</v>
      </c>
      <c r="C1350" s="7" t="s">
        <v>84</v>
      </c>
      <c r="D1350" s="7">
        <v>2</v>
      </c>
      <c r="E1350" s="7" t="s">
        <v>192</v>
      </c>
      <c r="F1350" s="9">
        <v>2.09</v>
      </c>
    </row>
    <row r="1351" spans="1:6" x14ac:dyDescent="0.35">
      <c r="A1351" s="10">
        <v>1393</v>
      </c>
      <c r="B1351" s="7">
        <v>3</v>
      </c>
      <c r="C1351" s="7" t="s">
        <v>103</v>
      </c>
      <c r="D1351" s="7">
        <v>1</v>
      </c>
      <c r="E1351" s="7" t="s">
        <v>170</v>
      </c>
      <c r="F1351" s="9">
        <v>6.69</v>
      </c>
    </row>
    <row r="1352" spans="1:6" x14ac:dyDescent="0.35">
      <c r="A1352" s="10">
        <v>1393</v>
      </c>
      <c r="B1352" s="7">
        <v>4</v>
      </c>
      <c r="C1352" s="7" t="s">
        <v>92</v>
      </c>
      <c r="D1352" s="7">
        <v>2</v>
      </c>
      <c r="E1352" s="7" t="s">
        <v>179</v>
      </c>
      <c r="F1352" s="9">
        <v>5.86</v>
      </c>
    </row>
    <row r="1353" spans="1:6" x14ac:dyDescent="0.35">
      <c r="A1353" s="10">
        <v>1394</v>
      </c>
      <c r="B1353" s="7">
        <v>1</v>
      </c>
      <c r="C1353" s="7" t="s">
        <v>63</v>
      </c>
      <c r="D1353" s="7">
        <v>2</v>
      </c>
      <c r="E1353" s="7" t="s">
        <v>165</v>
      </c>
      <c r="F1353" s="9">
        <v>1.67</v>
      </c>
    </row>
    <row r="1354" spans="1:6" x14ac:dyDescent="0.35">
      <c r="A1354" s="10">
        <v>1394</v>
      </c>
      <c r="B1354" s="7">
        <v>2</v>
      </c>
      <c r="C1354" s="7" t="s">
        <v>143</v>
      </c>
      <c r="D1354" s="7">
        <v>4</v>
      </c>
      <c r="E1354" s="7" t="s">
        <v>167</v>
      </c>
      <c r="F1354" s="9">
        <v>8.3699999999999992</v>
      </c>
    </row>
    <row r="1355" spans="1:6" x14ac:dyDescent="0.35">
      <c r="A1355" s="10">
        <v>1394</v>
      </c>
      <c r="B1355" s="7">
        <v>3</v>
      </c>
      <c r="C1355" s="7" t="s">
        <v>138</v>
      </c>
      <c r="D1355" s="7">
        <v>5</v>
      </c>
      <c r="E1355" s="7" t="s">
        <v>175</v>
      </c>
      <c r="F1355" s="9">
        <v>4.18</v>
      </c>
    </row>
    <row r="1356" spans="1:6" x14ac:dyDescent="0.35">
      <c r="A1356" s="10">
        <v>1394</v>
      </c>
      <c r="B1356" s="7">
        <v>4</v>
      </c>
      <c r="C1356" s="7" t="s">
        <v>119</v>
      </c>
      <c r="D1356" s="7">
        <v>2</v>
      </c>
      <c r="E1356" s="7" t="s">
        <v>165</v>
      </c>
      <c r="F1356" s="9">
        <v>1.67</v>
      </c>
    </row>
    <row r="1357" spans="1:6" x14ac:dyDescent="0.35">
      <c r="A1357" s="10">
        <v>1394</v>
      </c>
      <c r="B1357" s="7">
        <v>5</v>
      </c>
      <c r="C1357" s="7" t="s">
        <v>116</v>
      </c>
      <c r="D1357" s="7">
        <v>4</v>
      </c>
      <c r="E1357" s="7" t="s">
        <v>165</v>
      </c>
      <c r="F1357" s="9">
        <v>1.67</v>
      </c>
    </row>
    <row r="1358" spans="1:6" x14ac:dyDescent="0.35">
      <c r="A1358" s="10">
        <v>1395</v>
      </c>
      <c r="B1358" s="7">
        <v>1</v>
      </c>
      <c r="C1358" s="7" t="s">
        <v>116</v>
      </c>
      <c r="D1358" s="7">
        <v>6</v>
      </c>
      <c r="E1358" s="7" t="s">
        <v>165</v>
      </c>
      <c r="F1358" s="9">
        <v>1.67</v>
      </c>
    </row>
    <row r="1359" spans="1:6" x14ac:dyDescent="0.35">
      <c r="A1359" s="10">
        <v>1395</v>
      </c>
      <c r="B1359" s="7">
        <v>2</v>
      </c>
      <c r="C1359" s="7" t="s">
        <v>69</v>
      </c>
      <c r="D1359" s="7">
        <v>6</v>
      </c>
      <c r="E1359" s="7" t="s">
        <v>170</v>
      </c>
      <c r="F1359" s="9">
        <v>6.69</v>
      </c>
    </row>
    <row r="1360" spans="1:6" x14ac:dyDescent="0.35">
      <c r="A1360" s="10">
        <v>1395</v>
      </c>
      <c r="B1360" s="7">
        <v>3</v>
      </c>
      <c r="C1360" s="7" t="s">
        <v>128</v>
      </c>
      <c r="D1360" s="7">
        <v>1</v>
      </c>
      <c r="E1360" s="7" t="s">
        <v>177</v>
      </c>
      <c r="F1360" s="9">
        <v>5.0199999999999996</v>
      </c>
    </row>
    <row r="1361" spans="1:6" x14ac:dyDescent="0.35">
      <c r="A1361" s="10">
        <v>1395</v>
      </c>
      <c r="B1361" s="7">
        <v>4</v>
      </c>
      <c r="C1361" s="7" t="s">
        <v>153</v>
      </c>
      <c r="D1361" s="7">
        <v>6</v>
      </c>
      <c r="E1361" s="7" t="s">
        <v>179</v>
      </c>
      <c r="F1361" s="9">
        <v>5.86</v>
      </c>
    </row>
    <row r="1362" spans="1:6" x14ac:dyDescent="0.35">
      <c r="A1362" s="10">
        <v>1396</v>
      </c>
      <c r="B1362" s="7">
        <v>1</v>
      </c>
      <c r="C1362" s="7" t="s">
        <v>99</v>
      </c>
      <c r="D1362" s="7">
        <v>5</v>
      </c>
      <c r="E1362" s="7" t="s">
        <v>165</v>
      </c>
      <c r="F1362" s="9">
        <v>1.67</v>
      </c>
    </row>
    <row r="1363" spans="1:6" x14ac:dyDescent="0.35">
      <c r="A1363" s="10">
        <v>1396</v>
      </c>
      <c r="B1363" s="7">
        <v>2</v>
      </c>
      <c r="C1363" s="7" t="s">
        <v>94</v>
      </c>
      <c r="D1363" s="7">
        <v>1</v>
      </c>
      <c r="E1363" s="7" t="s">
        <v>170</v>
      </c>
      <c r="F1363" s="9">
        <v>6.69</v>
      </c>
    </row>
    <row r="1364" spans="1:6" x14ac:dyDescent="0.35">
      <c r="A1364" s="10">
        <v>1396</v>
      </c>
      <c r="B1364" s="7">
        <v>3</v>
      </c>
      <c r="C1364" s="7" t="s">
        <v>136</v>
      </c>
      <c r="D1364" s="7">
        <v>7</v>
      </c>
      <c r="E1364" s="7" t="s">
        <v>177</v>
      </c>
      <c r="F1364" s="9">
        <v>5.0199999999999996</v>
      </c>
    </row>
    <row r="1365" spans="1:6" x14ac:dyDescent="0.35">
      <c r="A1365" s="10">
        <v>1397</v>
      </c>
      <c r="B1365" s="7">
        <v>1</v>
      </c>
      <c r="C1365" s="7" t="s">
        <v>116</v>
      </c>
      <c r="D1365" s="7">
        <v>7</v>
      </c>
      <c r="E1365" s="7" t="s">
        <v>165</v>
      </c>
      <c r="F1365" s="9">
        <v>1.67</v>
      </c>
    </row>
    <row r="1366" spans="1:6" x14ac:dyDescent="0.35">
      <c r="A1366" s="10">
        <v>1397</v>
      </c>
      <c r="B1366" s="7">
        <v>2</v>
      </c>
      <c r="C1366" s="7" t="s">
        <v>142</v>
      </c>
      <c r="D1366" s="7">
        <v>2</v>
      </c>
      <c r="E1366" s="7" t="s">
        <v>192</v>
      </c>
      <c r="F1366" s="9">
        <v>2.09</v>
      </c>
    </row>
    <row r="1367" spans="1:6" x14ac:dyDescent="0.35">
      <c r="A1367" s="10">
        <v>1398</v>
      </c>
      <c r="B1367" s="7">
        <v>1</v>
      </c>
      <c r="C1367" s="7" t="s">
        <v>69</v>
      </c>
      <c r="D1367" s="7">
        <v>1</v>
      </c>
      <c r="E1367" s="7" t="s">
        <v>170</v>
      </c>
      <c r="F1367" s="9">
        <v>6.69</v>
      </c>
    </row>
    <row r="1368" spans="1:6" x14ac:dyDescent="0.35">
      <c r="A1368" s="10">
        <v>1398</v>
      </c>
      <c r="B1368" s="7">
        <v>2</v>
      </c>
      <c r="C1368" s="7" t="s">
        <v>125</v>
      </c>
      <c r="D1368" s="7">
        <v>3</v>
      </c>
      <c r="E1368" s="7" t="s">
        <v>170</v>
      </c>
      <c r="F1368" s="9">
        <v>6.69</v>
      </c>
    </row>
    <row r="1369" spans="1:6" x14ac:dyDescent="0.35">
      <c r="A1369" s="10">
        <v>1399</v>
      </c>
      <c r="B1369" s="7">
        <v>1</v>
      </c>
      <c r="C1369" s="7" t="s">
        <v>146</v>
      </c>
      <c r="D1369" s="7">
        <v>2</v>
      </c>
      <c r="E1369" s="7" t="s">
        <v>175</v>
      </c>
      <c r="F1369" s="9">
        <v>4.18</v>
      </c>
    </row>
    <row r="1370" spans="1:6" x14ac:dyDescent="0.35">
      <c r="A1370" s="10">
        <v>1399</v>
      </c>
      <c r="B1370" s="7">
        <v>2</v>
      </c>
      <c r="C1370" s="7" t="s">
        <v>65</v>
      </c>
      <c r="D1370" s="7">
        <v>5</v>
      </c>
      <c r="E1370" s="7" t="s">
        <v>175</v>
      </c>
      <c r="F1370" s="9">
        <v>4.18</v>
      </c>
    </row>
    <row r="1371" spans="1:6" x14ac:dyDescent="0.35">
      <c r="A1371" s="10">
        <v>1399</v>
      </c>
      <c r="B1371" s="7">
        <v>3</v>
      </c>
      <c r="C1371" s="7" t="s">
        <v>100</v>
      </c>
      <c r="D1371" s="7">
        <v>6</v>
      </c>
      <c r="E1371" s="7" t="s">
        <v>170</v>
      </c>
      <c r="F1371" s="9">
        <v>6.69</v>
      </c>
    </row>
    <row r="1372" spans="1:6" x14ac:dyDescent="0.35">
      <c r="A1372" s="10">
        <v>1399</v>
      </c>
      <c r="B1372" s="7">
        <v>4</v>
      </c>
      <c r="C1372" s="7" t="s">
        <v>153</v>
      </c>
      <c r="D1372" s="7">
        <v>5</v>
      </c>
      <c r="E1372" s="7" t="s">
        <v>179</v>
      </c>
      <c r="F1372" s="9">
        <v>5.86</v>
      </c>
    </row>
    <row r="1373" spans="1:6" x14ac:dyDescent="0.35">
      <c r="A1373" s="10">
        <v>1399</v>
      </c>
      <c r="B1373" s="7">
        <v>5</v>
      </c>
      <c r="C1373" s="7" t="s">
        <v>63</v>
      </c>
      <c r="D1373" s="7">
        <v>4</v>
      </c>
      <c r="E1373" s="7" t="s">
        <v>165</v>
      </c>
      <c r="F1373" s="9">
        <v>1.67</v>
      </c>
    </row>
    <row r="1374" spans="1:6" x14ac:dyDescent="0.35">
      <c r="A1374" s="10">
        <v>1400</v>
      </c>
      <c r="B1374" s="7">
        <v>1</v>
      </c>
      <c r="C1374" s="7" t="s">
        <v>101</v>
      </c>
      <c r="D1374" s="7">
        <v>7</v>
      </c>
      <c r="E1374" s="7" t="s">
        <v>179</v>
      </c>
      <c r="F1374" s="9">
        <v>5.86</v>
      </c>
    </row>
    <row r="1375" spans="1:6" x14ac:dyDescent="0.35">
      <c r="A1375" s="10">
        <v>1400</v>
      </c>
      <c r="B1375" s="7">
        <v>2</v>
      </c>
      <c r="C1375" s="7" t="s">
        <v>110</v>
      </c>
      <c r="D1375" s="7">
        <v>6</v>
      </c>
      <c r="E1375" s="7" t="s">
        <v>197</v>
      </c>
      <c r="F1375" s="9">
        <v>3.76</v>
      </c>
    </row>
    <row r="1376" spans="1:6" x14ac:dyDescent="0.35">
      <c r="A1376" s="10">
        <v>1400</v>
      </c>
      <c r="B1376" s="7">
        <v>3</v>
      </c>
      <c r="C1376" s="7" t="s">
        <v>81</v>
      </c>
      <c r="D1376" s="7">
        <v>3</v>
      </c>
      <c r="E1376" s="7" t="s">
        <v>177</v>
      </c>
      <c r="F1376" s="9">
        <v>5.0199999999999996</v>
      </c>
    </row>
    <row r="1377" spans="1:6" x14ac:dyDescent="0.35">
      <c r="A1377" s="10">
        <v>1400</v>
      </c>
      <c r="B1377" s="7">
        <v>4</v>
      </c>
      <c r="C1377" s="7" t="s">
        <v>98</v>
      </c>
      <c r="D1377" s="7">
        <v>4</v>
      </c>
      <c r="E1377" s="7" t="s">
        <v>165</v>
      </c>
      <c r="F1377" s="9">
        <v>1.67</v>
      </c>
    </row>
    <row r="1378" spans="1:6" x14ac:dyDescent="0.35">
      <c r="A1378" s="10">
        <v>1401</v>
      </c>
      <c r="B1378" s="7">
        <v>1</v>
      </c>
      <c r="C1378" s="7" t="s">
        <v>64</v>
      </c>
      <c r="D1378" s="7">
        <v>3</v>
      </c>
      <c r="E1378" s="7" t="s">
        <v>167</v>
      </c>
      <c r="F1378" s="9">
        <v>8.3699999999999992</v>
      </c>
    </row>
    <row r="1379" spans="1:6" x14ac:dyDescent="0.35">
      <c r="A1379" s="10">
        <v>1401</v>
      </c>
      <c r="B1379" s="7">
        <v>2</v>
      </c>
      <c r="C1379" s="7" t="s">
        <v>78</v>
      </c>
      <c r="D1379" s="7">
        <v>2</v>
      </c>
      <c r="E1379" s="7" t="s">
        <v>179</v>
      </c>
      <c r="F1379" s="9">
        <v>5.86</v>
      </c>
    </row>
    <row r="1380" spans="1:6" x14ac:dyDescent="0.35">
      <c r="A1380" s="10">
        <v>1401</v>
      </c>
      <c r="B1380" s="7">
        <v>3</v>
      </c>
      <c r="C1380" s="7" t="s">
        <v>102</v>
      </c>
      <c r="D1380" s="7">
        <v>6</v>
      </c>
      <c r="E1380" s="7" t="s">
        <v>192</v>
      </c>
      <c r="F1380" s="9">
        <v>2.09</v>
      </c>
    </row>
    <row r="1381" spans="1:6" x14ac:dyDescent="0.35">
      <c r="A1381" s="10">
        <v>1401</v>
      </c>
      <c r="B1381" s="7">
        <v>4</v>
      </c>
      <c r="C1381" s="7" t="s">
        <v>157</v>
      </c>
      <c r="D1381" s="7">
        <v>1</v>
      </c>
      <c r="E1381" s="7" t="s">
        <v>165</v>
      </c>
      <c r="F1381" s="9">
        <v>1.67</v>
      </c>
    </row>
    <row r="1382" spans="1:6" x14ac:dyDescent="0.35">
      <c r="A1382" s="10">
        <v>1401</v>
      </c>
      <c r="B1382" s="7">
        <v>5</v>
      </c>
      <c r="C1382" s="7" t="s">
        <v>137</v>
      </c>
      <c r="D1382" s="7">
        <v>3</v>
      </c>
      <c r="E1382" s="7" t="s">
        <v>165</v>
      </c>
      <c r="F1382" s="9">
        <v>1.67</v>
      </c>
    </row>
    <row r="1383" spans="1:6" x14ac:dyDescent="0.35">
      <c r="A1383" s="10">
        <v>1402</v>
      </c>
      <c r="B1383" s="7">
        <v>1</v>
      </c>
      <c r="C1383" s="7" t="s">
        <v>156</v>
      </c>
      <c r="D1383" s="7">
        <v>4</v>
      </c>
      <c r="E1383" s="7" t="s">
        <v>165</v>
      </c>
      <c r="F1383" s="9">
        <v>1.67</v>
      </c>
    </row>
    <row r="1384" spans="1:6" x14ac:dyDescent="0.35">
      <c r="A1384" s="10">
        <v>1402</v>
      </c>
      <c r="B1384" s="7">
        <v>2</v>
      </c>
      <c r="C1384" s="7" t="s">
        <v>133</v>
      </c>
      <c r="D1384" s="7">
        <v>3</v>
      </c>
      <c r="E1384" s="7" t="s">
        <v>175</v>
      </c>
      <c r="F1384" s="9">
        <v>4.18</v>
      </c>
    </row>
    <row r="1385" spans="1:6" x14ac:dyDescent="0.35">
      <c r="A1385" s="10">
        <v>1403</v>
      </c>
      <c r="B1385" s="7">
        <v>1</v>
      </c>
      <c r="C1385" s="7" t="s">
        <v>149</v>
      </c>
      <c r="D1385" s="7">
        <v>7</v>
      </c>
      <c r="E1385" s="7" t="s">
        <v>175</v>
      </c>
      <c r="F1385" s="9">
        <v>4.18</v>
      </c>
    </row>
    <row r="1386" spans="1:6" x14ac:dyDescent="0.35">
      <c r="A1386" s="10">
        <v>1403</v>
      </c>
      <c r="B1386" s="7">
        <v>2</v>
      </c>
      <c r="C1386" s="7" t="s">
        <v>69</v>
      </c>
      <c r="D1386" s="7">
        <v>3</v>
      </c>
      <c r="E1386" s="7" t="s">
        <v>170</v>
      </c>
      <c r="F1386" s="9">
        <v>6.69</v>
      </c>
    </row>
    <row r="1387" spans="1:6" x14ac:dyDescent="0.35">
      <c r="A1387" s="10">
        <v>1403</v>
      </c>
      <c r="B1387" s="7">
        <v>3</v>
      </c>
      <c r="C1387" s="7" t="s">
        <v>51</v>
      </c>
      <c r="D1387" s="7">
        <v>6</v>
      </c>
      <c r="E1387" s="7" t="s">
        <v>167</v>
      </c>
      <c r="F1387" s="9">
        <v>8.3699999999999992</v>
      </c>
    </row>
    <row r="1388" spans="1:6" x14ac:dyDescent="0.35">
      <c r="A1388" s="10">
        <v>1403</v>
      </c>
      <c r="B1388" s="7">
        <v>4</v>
      </c>
      <c r="C1388" s="7" t="s">
        <v>151</v>
      </c>
      <c r="D1388" s="7">
        <v>2</v>
      </c>
      <c r="E1388" s="7" t="s">
        <v>167</v>
      </c>
      <c r="F1388" s="9">
        <v>8.3699999999999992</v>
      </c>
    </row>
    <row r="1389" spans="1:6" x14ac:dyDescent="0.35">
      <c r="A1389" s="10">
        <v>1404</v>
      </c>
      <c r="B1389" s="7">
        <v>1</v>
      </c>
      <c r="C1389" s="7" t="s">
        <v>75</v>
      </c>
      <c r="D1389" s="7">
        <v>6</v>
      </c>
      <c r="E1389" s="7" t="s">
        <v>165</v>
      </c>
      <c r="F1389" s="9">
        <v>1.67</v>
      </c>
    </row>
    <row r="1390" spans="1:6" x14ac:dyDescent="0.35">
      <c r="A1390" s="10">
        <v>1404</v>
      </c>
      <c r="B1390" s="7">
        <v>2</v>
      </c>
      <c r="C1390" s="7" t="s">
        <v>132</v>
      </c>
      <c r="D1390" s="7">
        <v>3</v>
      </c>
      <c r="E1390" s="7" t="s">
        <v>170</v>
      </c>
      <c r="F1390" s="9">
        <v>6.69</v>
      </c>
    </row>
    <row r="1391" spans="1:6" x14ac:dyDescent="0.35">
      <c r="A1391" s="10">
        <v>1404</v>
      </c>
      <c r="B1391" s="7">
        <v>3</v>
      </c>
      <c r="C1391" s="7" t="s">
        <v>127</v>
      </c>
      <c r="D1391" s="7">
        <v>6</v>
      </c>
      <c r="E1391" s="7" t="s">
        <v>177</v>
      </c>
      <c r="F1391" s="9">
        <v>5.0199999999999996</v>
      </c>
    </row>
    <row r="1392" spans="1:6" x14ac:dyDescent="0.35">
      <c r="A1392" s="10">
        <v>1405</v>
      </c>
      <c r="B1392" s="7">
        <v>1</v>
      </c>
      <c r="C1392" s="7" t="s">
        <v>151</v>
      </c>
      <c r="D1392" s="7">
        <v>7</v>
      </c>
      <c r="E1392" s="7" t="s">
        <v>167</v>
      </c>
      <c r="F1392" s="9">
        <v>8.3699999999999992</v>
      </c>
    </row>
    <row r="1393" spans="1:6" x14ac:dyDescent="0.35">
      <c r="A1393" s="10">
        <v>1405</v>
      </c>
      <c r="B1393" s="7">
        <v>2</v>
      </c>
      <c r="C1393" s="7" t="s">
        <v>82</v>
      </c>
      <c r="D1393" s="7">
        <v>1</v>
      </c>
      <c r="E1393" s="7" t="s">
        <v>179</v>
      </c>
      <c r="F1393" s="9">
        <v>5.86</v>
      </c>
    </row>
    <row r="1394" spans="1:6" x14ac:dyDescent="0.35">
      <c r="A1394" s="10">
        <v>1405</v>
      </c>
      <c r="B1394" s="7">
        <v>3</v>
      </c>
      <c r="C1394" s="7" t="s">
        <v>83</v>
      </c>
      <c r="D1394" s="7">
        <v>1</v>
      </c>
      <c r="E1394" s="7" t="s">
        <v>197</v>
      </c>
      <c r="F1394" s="9">
        <v>3.76</v>
      </c>
    </row>
    <row r="1395" spans="1:6" x14ac:dyDescent="0.35">
      <c r="A1395" s="10">
        <v>1406</v>
      </c>
      <c r="B1395" s="7">
        <v>1</v>
      </c>
      <c r="C1395" s="7" t="s">
        <v>129</v>
      </c>
      <c r="D1395" s="7">
        <v>4</v>
      </c>
      <c r="E1395" s="7" t="s">
        <v>167</v>
      </c>
      <c r="F1395" s="9">
        <v>8.3699999999999992</v>
      </c>
    </row>
    <row r="1396" spans="1:6" x14ac:dyDescent="0.35">
      <c r="A1396" s="10">
        <v>1406</v>
      </c>
      <c r="B1396" s="7">
        <v>2</v>
      </c>
      <c r="C1396" s="7" t="s">
        <v>154</v>
      </c>
      <c r="D1396" s="7">
        <v>2</v>
      </c>
      <c r="E1396" s="7" t="s">
        <v>167</v>
      </c>
      <c r="F1396" s="9">
        <v>8.3699999999999992</v>
      </c>
    </row>
    <row r="1397" spans="1:6" x14ac:dyDescent="0.35">
      <c r="A1397" s="10">
        <v>1406</v>
      </c>
      <c r="B1397" s="7">
        <v>3</v>
      </c>
      <c r="C1397" s="7" t="s">
        <v>79</v>
      </c>
      <c r="D1397" s="7">
        <v>5</v>
      </c>
      <c r="E1397" s="7" t="s">
        <v>192</v>
      </c>
      <c r="F1397" s="9">
        <v>2.09</v>
      </c>
    </row>
    <row r="1398" spans="1:6" x14ac:dyDescent="0.35">
      <c r="A1398" s="10">
        <v>1406</v>
      </c>
      <c r="B1398" s="7">
        <v>4</v>
      </c>
      <c r="C1398" s="7" t="s">
        <v>121</v>
      </c>
      <c r="D1398" s="7">
        <v>3</v>
      </c>
      <c r="E1398" s="7" t="s">
        <v>197</v>
      </c>
      <c r="F1398" s="9">
        <v>3.76</v>
      </c>
    </row>
    <row r="1399" spans="1:6" x14ac:dyDescent="0.35">
      <c r="A1399" s="10">
        <v>1407</v>
      </c>
      <c r="B1399" s="7">
        <v>1</v>
      </c>
      <c r="C1399" s="7" t="s">
        <v>54</v>
      </c>
      <c r="D1399" s="7">
        <v>7</v>
      </c>
      <c r="E1399" s="7" t="s">
        <v>167</v>
      </c>
      <c r="F1399" s="9">
        <v>8.3699999999999992</v>
      </c>
    </row>
    <row r="1400" spans="1:6" x14ac:dyDescent="0.35">
      <c r="A1400" s="10">
        <v>1407</v>
      </c>
      <c r="B1400" s="7">
        <v>2</v>
      </c>
      <c r="C1400" s="7" t="s">
        <v>71</v>
      </c>
      <c r="D1400" s="7">
        <v>3</v>
      </c>
      <c r="E1400" s="7" t="s">
        <v>165</v>
      </c>
      <c r="F1400" s="9">
        <v>1.67</v>
      </c>
    </row>
    <row r="1401" spans="1:6" x14ac:dyDescent="0.35">
      <c r="A1401" s="10">
        <v>1407</v>
      </c>
      <c r="B1401" s="7">
        <v>3</v>
      </c>
      <c r="C1401" s="7" t="s">
        <v>144</v>
      </c>
      <c r="D1401" s="7">
        <v>1</v>
      </c>
      <c r="E1401" s="7" t="s">
        <v>177</v>
      </c>
      <c r="F1401" s="9">
        <v>5.0199999999999996</v>
      </c>
    </row>
    <row r="1402" spans="1:6" x14ac:dyDescent="0.35">
      <c r="A1402" s="10">
        <v>1407</v>
      </c>
      <c r="B1402" s="7">
        <v>4</v>
      </c>
      <c r="C1402" s="7" t="s">
        <v>109</v>
      </c>
      <c r="D1402" s="7">
        <v>2</v>
      </c>
      <c r="E1402" s="7" t="s">
        <v>179</v>
      </c>
      <c r="F1402" s="9">
        <v>5.86</v>
      </c>
    </row>
    <row r="1403" spans="1:6" x14ac:dyDescent="0.35">
      <c r="A1403" s="10">
        <v>1407</v>
      </c>
      <c r="B1403" s="7">
        <v>5</v>
      </c>
      <c r="C1403" s="7" t="s">
        <v>114</v>
      </c>
      <c r="D1403" s="7">
        <v>4</v>
      </c>
      <c r="E1403" s="7" t="s">
        <v>197</v>
      </c>
      <c r="F1403" s="9">
        <v>3.76</v>
      </c>
    </row>
    <row r="1404" spans="1:6" x14ac:dyDescent="0.35">
      <c r="A1404" s="10">
        <v>1408</v>
      </c>
      <c r="B1404" s="7">
        <v>1</v>
      </c>
      <c r="C1404" s="7" t="s">
        <v>80</v>
      </c>
      <c r="D1404" s="7">
        <v>2</v>
      </c>
      <c r="E1404" s="7" t="s">
        <v>165</v>
      </c>
      <c r="F1404" s="9">
        <v>1.67</v>
      </c>
    </row>
    <row r="1405" spans="1:6" x14ac:dyDescent="0.35">
      <c r="A1405" s="10">
        <v>1408</v>
      </c>
      <c r="B1405" s="7">
        <v>2</v>
      </c>
      <c r="C1405" s="7" t="s">
        <v>121</v>
      </c>
      <c r="D1405" s="7">
        <v>7</v>
      </c>
      <c r="E1405" s="7" t="s">
        <v>197</v>
      </c>
      <c r="F1405" s="9">
        <v>3.76</v>
      </c>
    </row>
    <row r="1406" spans="1:6" x14ac:dyDescent="0.35">
      <c r="A1406" s="10">
        <v>1408</v>
      </c>
      <c r="B1406" s="7">
        <v>3</v>
      </c>
      <c r="C1406" s="7" t="s">
        <v>90</v>
      </c>
      <c r="D1406" s="7">
        <v>7</v>
      </c>
      <c r="E1406" s="7" t="s">
        <v>165</v>
      </c>
      <c r="F1406" s="9">
        <v>1.67</v>
      </c>
    </row>
    <row r="1407" spans="1:6" x14ac:dyDescent="0.35">
      <c r="A1407" s="10">
        <v>1408</v>
      </c>
      <c r="B1407" s="7">
        <v>4</v>
      </c>
      <c r="C1407" s="7" t="s">
        <v>73</v>
      </c>
      <c r="D1407" s="7">
        <v>2</v>
      </c>
      <c r="E1407" s="7" t="s">
        <v>165</v>
      </c>
      <c r="F1407" s="9">
        <v>1.67</v>
      </c>
    </row>
    <row r="1408" spans="1:6" x14ac:dyDescent="0.35">
      <c r="A1408" s="10">
        <v>1408</v>
      </c>
      <c r="B1408" s="7">
        <v>5</v>
      </c>
      <c r="C1408" s="7" t="s">
        <v>140</v>
      </c>
      <c r="D1408" s="7">
        <v>1</v>
      </c>
      <c r="E1408" s="7" t="s">
        <v>167</v>
      </c>
      <c r="F1408" s="9">
        <v>8.3699999999999992</v>
      </c>
    </row>
    <row r="1409" spans="1:6" x14ac:dyDescent="0.35">
      <c r="A1409" s="10">
        <v>1409</v>
      </c>
      <c r="B1409" s="7">
        <v>1</v>
      </c>
      <c r="C1409" s="7" t="s">
        <v>119</v>
      </c>
      <c r="D1409" s="7">
        <v>2</v>
      </c>
      <c r="E1409" s="7" t="s">
        <v>165</v>
      </c>
      <c r="F1409" s="9">
        <v>1.67</v>
      </c>
    </row>
    <row r="1410" spans="1:6" x14ac:dyDescent="0.35">
      <c r="A1410" s="10">
        <v>1409</v>
      </c>
      <c r="B1410" s="7">
        <v>2</v>
      </c>
      <c r="C1410" s="7" t="s">
        <v>129</v>
      </c>
      <c r="D1410" s="7">
        <v>5</v>
      </c>
      <c r="E1410" s="7" t="s">
        <v>167</v>
      </c>
      <c r="F1410" s="9">
        <v>8.3699999999999992</v>
      </c>
    </row>
    <row r="1411" spans="1:6" x14ac:dyDescent="0.35">
      <c r="A1411" s="10">
        <v>1409</v>
      </c>
      <c r="B1411" s="7">
        <v>3</v>
      </c>
      <c r="C1411" s="7" t="s">
        <v>70</v>
      </c>
      <c r="D1411" s="7">
        <v>4</v>
      </c>
      <c r="E1411" s="7" t="s">
        <v>179</v>
      </c>
      <c r="F1411" s="9">
        <v>5.86</v>
      </c>
    </row>
    <row r="1412" spans="1:6" x14ac:dyDescent="0.35">
      <c r="A1412" s="10">
        <v>1409</v>
      </c>
      <c r="B1412" s="7">
        <v>4</v>
      </c>
      <c r="C1412" s="7" t="s">
        <v>92</v>
      </c>
      <c r="D1412" s="7">
        <v>7</v>
      </c>
      <c r="E1412" s="7" t="s">
        <v>179</v>
      </c>
      <c r="F1412" s="9">
        <v>5.86</v>
      </c>
    </row>
    <row r="1413" spans="1:6" x14ac:dyDescent="0.35">
      <c r="A1413" s="10">
        <v>1410</v>
      </c>
      <c r="B1413" s="7">
        <v>1</v>
      </c>
      <c r="C1413" s="7" t="s">
        <v>126</v>
      </c>
      <c r="D1413" s="7">
        <v>3</v>
      </c>
      <c r="E1413" s="7" t="s">
        <v>192</v>
      </c>
      <c r="F1413" s="9">
        <v>2.09</v>
      </c>
    </row>
    <row r="1414" spans="1:6" x14ac:dyDescent="0.35">
      <c r="A1414" s="10">
        <v>1410</v>
      </c>
      <c r="B1414" s="7">
        <v>2</v>
      </c>
      <c r="C1414" s="7" t="s">
        <v>54</v>
      </c>
      <c r="D1414" s="7">
        <v>3</v>
      </c>
      <c r="E1414" s="7" t="s">
        <v>167</v>
      </c>
      <c r="F1414" s="9">
        <v>8.3699999999999992</v>
      </c>
    </row>
    <row r="1415" spans="1:6" x14ac:dyDescent="0.35">
      <c r="A1415" s="10">
        <v>1410</v>
      </c>
      <c r="B1415" s="7">
        <v>3</v>
      </c>
      <c r="C1415" s="7" t="s">
        <v>124</v>
      </c>
      <c r="D1415" s="7">
        <v>6</v>
      </c>
      <c r="E1415" s="7" t="s">
        <v>167</v>
      </c>
      <c r="F1415" s="9">
        <v>8.3699999999999992</v>
      </c>
    </row>
    <row r="1416" spans="1:6" x14ac:dyDescent="0.35">
      <c r="A1416" s="10">
        <v>1411</v>
      </c>
      <c r="B1416" s="7">
        <v>1</v>
      </c>
      <c r="C1416" s="7" t="s">
        <v>129</v>
      </c>
      <c r="D1416" s="7">
        <v>2</v>
      </c>
      <c r="E1416" s="7" t="s">
        <v>167</v>
      </c>
      <c r="F1416" s="9">
        <v>8.3699999999999992</v>
      </c>
    </row>
    <row r="1417" spans="1:6" x14ac:dyDescent="0.35">
      <c r="A1417" s="10">
        <v>1411</v>
      </c>
      <c r="B1417" s="7">
        <v>2</v>
      </c>
      <c r="C1417" s="7" t="s">
        <v>144</v>
      </c>
      <c r="D1417" s="7">
        <v>5</v>
      </c>
      <c r="E1417" s="7" t="s">
        <v>177</v>
      </c>
      <c r="F1417" s="9">
        <v>5.0199999999999996</v>
      </c>
    </row>
    <row r="1418" spans="1:6" x14ac:dyDescent="0.35">
      <c r="A1418" s="10">
        <v>1411</v>
      </c>
      <c r="B1418" s="7">
        <v>3</v>
      </c>
      <c r="C1418" s="7" t="s">
        <v>133</v>
      </c>
      <c r="D1418" s="7">
        <v>3</v>
      </c>
      <c r="E1418" s="7" t="s">
        <v>175</v>
      </c>
      <c r="F1418" s="9">
        <v>4.18</v>
      </c>
    </row>
    <row r="1419" spans="1:6" x14ac:dyDescent="0.35">
      <c r="A1419" s="10">
        <v>1411</v>
      </c>
      <c r="B1419" s="7">
        <v>4</v>
      </c>
      <c r="C1419" s="7" t="s">
        <v>107</v>
      </c>
      <c r="D1419" s="7">
        <v>6</v>
      </c>
      <c r="E1419" s="7" t="s">
        <v>165</v>
      </c>
      <c r="F1419" s="9">
        <v>1.67</v>
      </c>
    </row>
    <row r="1420" spans="1:6" x14ac:dyDescent="0.35">
      <c r="A1420" s="10">
        <v>1411</v>
      </c>
      <c r="B1420" s="7">
        <v>5</v>
      </c>
      <c r="C1420" s="7" t="s">
        <v>153</v>
      </c>
      <c r="D1420" s="7">
        <v>1</v>
      </c>
      <c r="E1420" s="7" t="s">
        <v>179</v>
      </c>
      <c r="F1420" s="9">
        <v>5.86</v>
      </c>
    </row>
    <row r="1421" spans="1:6" x14ac:dyDescent="0.35">
      <c r="A1421" s="10">
        <v>1412</v>
      </c>
      <c r="B1421" s="7">
        <v>1</v>
      </c>
      <c r="C1421" s="7" t="s">
        <v>65</v>
      </c>
      <c r="D1421" s="7">
        <v>6</v>
      </c>
      <c r="E1421" s="7" t="s">
        <v>175</v>
      </c>
      <c r="F1421" s="9">
        <v>4.18</v>
      </c>
    </row>
    <row r="1422" spans="1:6" x14ac:dyDescent="0.35">
      <c r="A1422" s="10">
        <v>1412</v>
      </c>
      <c r="B1422" s="7">
        <v>2</v>
      </c>
      <c r="C1422" s="7" t="s">
        <v>122</v>
      </c>
      <c r="D1422" s="7">
        <v>5</v>
      </c>
      <c r="E1422" s="7" t="s">
        <v>167</v>
      </c>
      <c r="F1422" s="9">
        <v>8.3699999999999992</v>
      </c>
    </row>
    <row r="1423" spans="1:6" x14ac:dyDescent="0.35">
      <c r="A1423" s="10">
        <v>1412</v>
      </c>
      <c r="B1423" s="7">
        <v>3</v>
      </c>
      <c r="C1423" s="7" t="s">
        <v>84</v>
      </c>
      <c r="D1423" s="7">
        <v>2</v>
      </c>
      <c r="E1423" s="7" t="s">
        <v>192</v>
      </c>
      <c r="F1423" s="9">
        <v>2.09</v>
      </c>
    </row>
    <row r="1424" spans="1:6" x14ac:dyDescent="0.35">
      <c r="A1424" s="10">
        <v>1413</v>
      </c>
      <c r="B1424" s="7">
        <v>1</v>
      </c>
      <c r="C1424" s="7" t="s">
        <v>68</v>
      </c>
      <c r="D1424" s="7">
        <v>5</v>
      </c>
      <c r="E1424" s="7" t="s">
        <v>170</v>
      </c>
      <c r="F1424" s="9">
        <v>6.69</v>
      </c>
    </row>
    <row r="1425" spans="1:6" x14ac:dyDescent="0.35">
      <c r="A1425" s="10">
        <v>1413</v>
      </c>
      <c r="B1425" s="7">
        <v>2</v>
      </c>
      <c r="C1425" s="7" t="s">
        <v>108</v>
      </c>
      <c r="D1425" s="7">
        <v>6</v>
      </c>
      <c r="E1425" s="7" t="s">
        <v>177</v>
      </c>
      <c r="F1425" s="9">
        <v>5.0199999999999996</v>
      </c>
    </row>
    <row r="1426" spans="1:6" x14ac:dyDescent="0.35">
      <c r="A1426" s="10">
        <v>1413</v>
      </c>
      <c r="B1426" s="7">
        <v>3</v>
      </c>
      <c r="C1426" s="7" t="s">
        <v>138</v>
      </c>
      <c r="D1426" s="7">
        <v>1</v>
      </c>
      <c r="E1426" s="7" t="s">
        <v>175</v>
      </c>
      <c r="F1426" s="9">
        <v>4.18</v>
      </c>
    </row>
    <row r="1427" spans="1:6" x14ac:dyDescent="0.35">
      <c r="A1427" s="10">
        <v>1413</v>
      </c>
      <c r="B1427" s="7">
        <v>4</v>
      </c>
      <c r="C1427" s="7" t="s">
        <v>114</v>
      </c>
      <c r="D1427" s="7">
        <v>1</v>
      </c>
      <c r="E1427" s="7" t="s">
        <v>197</v>
      </c>
      <c r="F1427" s="9">
        <v>3.76</v>
      </c>
    </row>
    <row r="1428" spans="1:6" x14ac:dyDescent="0.35">
      <c r="A1428" s="10">
        <v>1414</v>
      </c>
      <c r="B1428" s="7">
        <v>1</v>
      </c>
      <c r="C1428" s="7" t="s">
        <v>94</v>
      </c>
      <c r="D1428" s="7">
        <v>5</v>
      </c>
      <c r="E1428" s="7" t="s">
        <v>170</v>
      </c>
      <c r="F1428" s="9">
        <v>6.69</v>
      </c>
    </row>
    <row r="1429" spans="1:6" x14ac:dyDescent="0.35">
      <c r="A1429" s="10">
        <v>1414</v>
      </c>
      <c r="B1429" s="7">
        <v>2</v>
      </c>
      <c r="C1429" s="7" t="s">
        <v>102</v>
      </c>
      <c r="D1429" s="7">
        <v>2</v>
      </c>
      <c r="E1429" s="7" t="s">
        <v>192</v>
      </c>
      <c r="F1429" s="9">
        <v>2.09</v>
      </c>
    </row>
    <row r="1430" spans="1:6" x14ac:dyDescent="0.35">
      <c r="A1430" s="10">
        <v>1414</v>
      </c>
      <c r="B1430" s="7">
        <v>3</v>
      </c>
      <c r="C1430" s="7" t="s">
        <v>141</v>
      </c>
      <c r="D1430" s="7">
        <v>6</v>
      </c>
      <c r="E1430" s="7" t="s">
        <v>170</v>
      </c>
      <c r="F1430" s="9">
        <v>6.69</v>
      </c>
    </row>
    <row r="1431" spans="1:6" x14ac:dyDescent="0.35">
      <c r="A1431" s="10">
        <v>1414</v>
      </c>
      <c r="B1431" s="7">
        <v>4</v>
      </c>
      <c r="C1431" s="7" t="s">
        <v>138</v>
      </c>
      <c r="D1431" s="7">
        <v>2</v>
      </c>
      <c r="E1431" s="7" t="s">
        <v>175</v>
      </c>
      <c r="F1431" s="9">
        <v>4.18</v>
      </c>
    </row>
    <row r="1432" spans="1:6" x14ac:dyDescent="0.35">
      <c r="A1432" s="10">
        <v>1414</v>
      </c>
      <c r="B1432" s="7">
        <v>5</v>
      </c>
      <c r="C1432" s="7" t="s">
        <v>76</v>
      </c>
      <c r="D1432" s="7">
        <v>4</v>
      </c>
      <c r="E1432" s="7" t="s">
        <v>179</v>
      </c>
      <c r="F1432" s="9">
        <v>5.86</v>
      </c>
    </row>
    <row r="1433" spans="1:6" x14ac:dyDescent="0.35">
      <c r="A1433" s="10">
        <v>1415</v>
      </c>
      <c r="B1433" s="7">
        <v>1</v>
      </c>
      <c r="C1433" s="7" t="s">
        <v>93</v>
      </c>
      <c r="D1433" s="7">
        <v>5</v>
      </c>
      <c r="E1433" s="7" t="s">
        <v>175</v>
      </c>
      <c r="F1433" s="9">
        <v>4.18</v>
      </c>
    </row>
    <row r="1434" spans="1:6" x14ac:dyDescent="0.35">
      <c r="A1434" s="10">
        <v>1415</v>
      </c>
      <c r="B1434" s="7">
        <v>2</v>
      </c>
      <c r="C1434" s="7" t="s">
        <v>113</v>
      </c>
      <c r="D1434" s="7">
        <v>3</v>
      </c>
      <c r="E1434" s="7" t="s">
        <v>177</v>
      </c>
      <c r="F1434" s="9">
        <v>5.0199999999999996</v>
      </c>
    </row>
    <row r="1435" spans="1:6" x14ac:dyDescent="0.35">
      <c r="A1435" s="10">
        <v>1415</v>
      </c>
      <c r="B1435" s="7">
        <v>3</v>
      </c>
      <c r="C1435" s="7" t="s">
        <v>79</v>
      </c>
      <c r="D1435" s="7">
        <v>3</v>
      </c>
      <c r="E1435" s="7" t="s">
        <v>192</v>
      </c>
      <c r="F1435" s="9">
        <v>2.09</v>
      </c>
    </row>
    <row r="1436" spans="1:6" x14ac:dyDescent="0.35">
      <c r="A1436" s="10">
        <v>1415</v>
      </c>
      <c r="B1436" s="7">
        <v>4</v>
      </c>
      <c r="C1436" s="7" t="s">
        <v>78</v>
      </c>
      <c r="D1436" s="7">
        <v>2</v>
      </c>
      <c r="E1436" s="7" t="s">
        <v>179</v>
      </c>
      <c r="F1436" s="9">
        <v>5.86</v>
      </c>
    </row>
    <row r="1437" spans="1:6" x14ac:dyDescent="0.35">
      <c r="A1437" s="10">
        <v>1416</v>
      </c>
      <c r="B1437" s="7">
        <v>1</v>
      </c>
      <c r="C1437" s="7" t="s">
        <v>116</v>
      </c>
      <c r="D1437" s="7">
        <v>4</v>
      </c>
      <c r="E1437" s="7" t="s">
        <v>165</v>
      </c>
      <c r="F1437" s="9">
        <v>1.67</v>
      </c>
    </row>
    <row r="1438" spans="1:6" x14ac:dyDescent="0.35">
      <c r="A1438" s="10">
        <v>1416</v>
      </c>
      <c r="B1438" s="7">
        <v>2</v>
      </c>
      <c r="C1438" s="7" t="s">
        <v>155</v>
      </c>
      <c r="D1438" s="7">
        <v>2</v>
      </c>
      <c r="E1438" s="7" t="s">
        <v>167</v>
      </c>
      <c r="F1438" s="9">
        <v>8.3699999999999992</v>
      </c>
    </row>
    <row r="1439" spans="1:6" x14ac:dyDescent="0.35">
      <c r="A1439" s="10">
        <v>1416</v>
      </c>
      <c r="B1439" s="7">
        <v>3</v>
      </c>
      <c r="C1439" s="7" t="s">
        <v>124</v>
      </c>
      <c r="D1439" s="7">
        <v>2</v>
      </c>
      <c r="E1439" s="7" t="s">
        <v>167</v>
      </c>
      <c r="F1439" s="9">
        <v>8.3699999999999992</v>
      </c>
    </row>
    <row r="1440" spans="1:6" x14ac:dyDescent="0.35">
      <c r="A1440" s="10">
        <v>1416</v>
      </c>
      <c r="B1440" s="7">
        <v>4</v>
      </c>
      <c r="C1440" s="7" t="s">
        <v>118</v>
      </c>
      <c r="D1440" s="7">
        <v>6</v>
      </c>
      <c r="E1440" s="7" t="s">
        <v>165</v>
      </c>
      <c r="F1440" s="9">
        <v>1.67</v>
      </c>
    </row>
    <row r="1441" spans="1:6" x14ac:dyDescent="0.35">
      <c r="A1441" s="10">
        <v>1416</v>
      </c>
      <c r="B1441" s="7">
        <v>5</v>
      </c>
      <c r="C1441" s="7" t="s">
        <v>65</v>
      </c>
      <c r="D1441" s="7">
        <v>3</v>
      </c>
      <c r="E1441" s="7" t="s">
        <v>175</v>
      </c>
      <c r="F1441" s="9">
        <v>4.18</v>
      </c>
    </row>
    <row r="1442" spans="1:6" x14ac:dyDescent="0.35">
      <c r="A1442" s="10">
        <v>1417</v>
      </c>
      <c r="B1442" s="7">
        <v>1</v>
      </c>
      <c r="C1442" s="7" t="s">
        <v>138</v>
      </c>
      <c r="D1442" s="7">
        <v>6</v>
      </c>
      <c r="E1442" s="7" t="s">
        <v>175</v>
      </c>
      <c r="F1442" s="9">
        <v>4.18</v>
      </c>
    </row>
    <row r="1443" spans="1:6" x14ac:dyDescent="0.35">
      <c r="A1443" s="10">
        <v>1417</v>
      </c>
      <c r="B1443" s="7">
        <v>2</v>
      </c>
      <c r="C1443" s="7" t="s">
        <v>67</v>
      </c>
      <c r="D1443" s="7">
        <v>4</v>
      </c>
      <c r="E1443" s="7" t="s">
        <v>179</v>
      </c>
      <c r="F1443" s="9">
        <v>5.86</v>
      </c>
    </row>
    <row r="1444" spans="1:6" x14ac:dyDescent="0.35">
      <c r="A1444" s="10">
        <v>1417</v>
      </c>
      <c r="B1444" s="7">
        <v>3</v>
      </c>
      <c r="C1444" s="7" t="s">
        <v>106</v>
      </c>
      <c r="D1444" s="7">
        <v>1</v>
      </c>
      <c r="E1444" s="7" t="s">
        <v>167</v>
      </c>
      <c r="F1444" s="9">
        <v>8.3699999999999992</v>
      </c>
    </row>
    <row r="1445" spans="1:6" x14ac:dyDescent="0.35">
      <c r="A1445" s="10">
        <v>1417</v>
      </c>
      <c r="B1445" s="7">
        <v>4</v>
      </c>
      <c r="C1445" s="7" t="s">
        <v>114</v>
      </c>
      <c r="D1445" s="7">
        <v>3</v>
      </c>
      <c r="E1445" s="7" t="s">
        <v>197</v>
      </c>
      <c r="F1445" s="9">
        <v>3.76</v>
      </c>
    </row>
    <row r="1446" spans="1:6" x14ac:dyDescent="0.35">
      <c r="A1446" s="10">
        <v>1417</v>
      </c>
      <c r="B1446" s="7">
        <v>5</v>
      </c>
      <c r="C1446" s="7" t="s">
        <v>85</v>
      </c>
      <c r="D1446" s="7">
        <v>2</v>
      </c>
      <c r="E1446" s="7" t="s">
        <v>165</v>
      </c>
      <c r="F1446" s="9">
        <v>1.67</v>
      </c>
    </row>
    <row r="1447" spans="1:6" x14ac:dyDescent="0.35">
      <c r="A1447" s="10">
        <v>1418</v>
      </c>
      <c r="B1447" s="7">
        <v>1</v>
      </c>
      <c r="C1447" s="7" t="s">
        <v>113</v>
      </c>
      <c r="D1447" s="7">
        <v>7</v>
      </c>
      <c r="E1447" s="7" t="s">
        <v>177</v>
      </c>
      <c r="F1447" s="9">
        <v>5.0199999999999996</v>
      </c>
    </row>
    <row r="1448" spans="1:6" x14ac:dyDescent="0.35">
      <c r="A1448" s="10">
        <v>1418</v>
      </c>
      <c r="B1448" s="7">
        <v>2</v>
      </c>
      <c r="C1448" s="7" t="s">
        <v>68</v>
      </c>
      <c r="D1448" s="7">
        <v>3</v>
      </c>
      <c r="E1448" s="7" t="s">
        <v>170</v>
      </c>
      <c r="F1448" s="9">
        <v>6.69</v>
      </c>
    </row>
    <row r="1449" spans="1:6" x14ac:dyDescent="0.35">
      <c r="A1449" s="10">
        <v>1418</v>
      </c>
      <c r="B1449" s="7">
        <v>3</v>
      </c>
      <c r="C1449" s="7" t="s">
        <v>144</v>
      </c>
      <c r="D1449" s="7">
        <v>2</v>
      </c>
      <c r="E1449" s="7" t="s">
        <v>177</v>
      </c>
      <c r="F1449" s="9">
        <v>5.0199999999999996</v>
      </c>
    </row>
    <row r="1450" spans="1:6" x14ac:dyDescent="0.35">
      <c r="A1450" s="10">
        <v>1418</v>
      </c>
      <c r="B1450" s="7">
        <v>4</v>
      </c>
      <c r="C1450" s="7" t="s">
        <v>101</v>
      </c>
      <c r="D1450" s="7">
        <v>2</v>
      </c>
      <c r="E1450" s="7" t="s">
        <v>179</v>
      </c>
      <c r="F1450" s="9">
        <v>5.86</v>
      </c>
    </row>
    <row r="1451" spans="1:6" x14ac:dyDescent="0.35">
      <c r="A1451" s="10">
        <v>1419</v>
      </c>
      <c r="B1451" s="7">
        <v>1</v>
      </c>
      <c r="C1451" s="7" t="s">
        <v>152</v>
      </c>
      <c r="D1451" s="7">
        <v>3</v>
      </c>
      <c r="E1451" s="7" t="s">
        <v>177</v>
      </c>
      <c r="F1451" s="9">
        <v>5.0199999999999996</v>
      </c>
    </row>
    <row r="1452" spans="1:6" x14ac:dyDescent="0.35">
      <c r="A1452" s="10">
        <v>1419</v>
      </c>
      <c r="B1452" s="7">
        <v>2</v>
      </c>
      <c r="C1452" s="7" t="s">
        <v>90</v>
      </c>
      <c r="D1452" s="7">
        <v>2</v>
      </c>
      <c r="E1452" s="7" t="s">
        <v>165</v>
      </c>
      <c r="F1452" s="9">
        <v>1.67</v>
      </c>
    </row>
    <row r="1453" spans="1:6" x14ac:dyDescent="0.35">
      <c r="A1453" s="10">
        <v>1419</v>
      </c>
      <c r="B1453" s="7">
        <v>3</v>
      </c>
      <c r="C1453" s="7" t="s">
        <v>89</v>
      </c>
      <c r="D1453" s="7">
        <v>7</v>
      </c>
      <c r="E1453" s="7" t="s">
        <v>165</v>
      </c>
      <c r="F1453" s="9">
        <v>1.67</v>
      </c>
    </row>
    <row r="1454" spans="1:6" x14ac:dyDescent="0.35">
      <c r="A1454" s="10">
        <v>1419</v>
      </c>
      <c r="B1454" s="7">
        <v>4</v>
      </c>
      <c r="C1454" s="7" t="s">
        <v>103</v>
      </c>
      <c r="D1454" s="7">
        <v>5</v>
      </c>
      <c r="E1454" s="7" t="s">
        <v>170</v>
      </c>
      <c r="F1454" s="9">
        <v>6.69</v>
      </c>
    </row>
    <row r="1455" spans="1:6" x14ac:dyDescent="0.35">
      <c r="A1455" s="10">
        <v>1420</v>
      </c>
      <c r="B1455" s="7">
        <v>1</v>
      </c>
      <c r="C1455" s="7" t="s">
        <v>108</v>
      </c>
      <c r="D1455" s="7">
        <v>3</v>
      </c>
      <c r="E1455" s="7" t="s">
        <v>177</v>
      </c>
      <c r="F1455" s="9">
        <v>5.0199999999999996</v>
      </c>
    </row>
    <row r="1456" spans="1:6" x14ac:dyDescent="0.35">
      <c r="A1456" s="10">
        <v>1420</v>
      </c>
      <c r="B1456" s="7">
        <v>2</v>
      </c>
      <c r="C1456" s="7" t="s">
        <v>107</v>
      </c>
      <c r="D1456" s="7">
        <v>4</v>
      </c>
      <c r="E1456" s="7" t="s">
        <v>165</v>
      </c>
      <c r="F1456" s="9">
        <v>1.67</v>
      </c>
    </row>
    <row r="1457" spans="1:6" x14ac:dyDescent="0.35">
      <c r="A1457" s="10">
        <v>1420</v>
      </c>
      <c r="B1457" s="7">
        <v>3</v>
      </c>
      <c r="C1457" s="7" t="s">
        <v>157</v>
      </c>
      <c r="D1457" s="7">
        <v>5</v>
      </c>
      <c r="E1457" s="7" t="s">
        <v>165</v>
      </c>
      <c r="F1457" s="9">
        <v>1.67</v>
      </c>
    </row>
    <row r="1458" spans="1:6" x14ac:dyDescent="0.35">
      <c r="A1458" s="10">
        <v>1421</v>
      </c>
      <c r="B1458" s="7">
        <v>1</v>
      </c>
      <c r="C1458" s="7" t="s">
        <v>118</v>
      </c>
      <c r="D1458" s="7">
        <v>3</v>
      </c>
      <c r="E1458" s="7" t="s">
        <v>165</v>
      </c>
      <c r="F1458" s="9">
        <v>1.67</v>
      </c>
    </row>
    <row r="1459" spans="1:6" x14ac:dyDescent="0.35">
      <c r="A1459" s="10">
        <v>1421</v>
      </c>
      <c r="B1459" s="7">
        <v>2</v>
      </c>
      <c r="C1459" s="7" t="s">
        <v>134</v>
      </c>
      <c r="D1459" s="7">
        <v>4</v>
      </c>
      <c r="E1459" s="7" t="s">
        <v>177</v>
      </c>
      <c r="F1459" s="9">
        <v>5.0199999999999996</v>
      </c>
    </row>
    <row r="1460" spans="1:6" x14ac:dyDescent="0.35">
      <c r="A1460" s="10">
        <v>1421</v>
      </c>
      <c r="B1460" s="7">
        <v>3</v>
      </c>
      <c r="C1460" s="7" t="s">
        <v>117</v>
      </c>
      <c r="D1460" s="7">
        <v>1</v>
      </c>
      <c r="E1460" s="7" t="s">
        <v>165</v>
      </c>
      <c r="F1460" s="9">
        <v>1.67</v>
      </c>
    </row>
    <row r="1461" spans="1:6" x14ac:dyDescent="0.35">
      <c r="A1461" s="10">
        <v>1421</v>
      </c>
      <c r="B1461" s="7">
        <v>4</v>
      </c>
      <c r="C1461" s="7" t="s">
        <v>129</v>
      </c>
      <c r="D1461" s="7">
        <v>4</v>
      </c>
      <c r="E1461" s="7" t="s">
        <v>167</v>
      </c>
      <c r="F1461" s="9">
        <v>8.3699999999999992</v>
      </c>
    </row>
    <row r="1462" spans="1:6" x14ac:dyDescent="0.35">
      <c r="A1462" s="10">
        <v>1421</v>
      </c>
      <c r="B1462" s="7">
        <v>5</v>
      </c>
      <c r="C1462" s="7" t="s">
        <v>97</v>
      </c>
      <c r="D1462" s="7">
        <v>6</v>
      </c>
      <c r="E1462" s="7" t="s">
        <v>165</v>
      </c>
      <c r="F1462" s="9">
        <v>1.67</v>
      </c>
    </row>
    <row r="1463" spans="1:6" x14ac:dyDescent="0.35">
      <c r="A1463" s="10">
        <v>1422</v>
      </c>
      <c r="B1463" s="7">
        <v>1</v>
      </c>
      <c r="C1463" s="7" t="s">
        <v>116</v>
      </c>
      <c r="D1463" s="7">
        <v>2</v>
      </c>
      <c r="E1463" s="7" t="s">
        <v>165</v>
      </c>
      <c r="F1463" s="9">
        <v>1.67</v>
      </c>
    </row>
    <row r="1464" spans="1:6" x14ac:dyDescent="0.35">
      <c r="A1464" s="10">
        <v>1422</v>
      </c>
      <c r="B1464" s="7">
        <v>2</v>
      </c>
      <c r="C1464" s="7" t="s">
        <v>111</v>
      </c>
      <c r="D1464" s="7">
        <v>6</v>
      </c>
      <c r="E1464" s="7" t="s">
        <v>179</v>
      </c>
      <c r="F1464" s="9">
        <v>5.86</v>
      </c>
    </row>
    <row r="1465" spans="1:6" x14ac:dyDescent="0.35">
      <c r="A1465" s="10">
        <v>1423</v>
      </c>
      <c r="B1465" s="7">
        <v>1</v>
      </c>
      <c r="C1465" s="7" t="s">
        <v>128</v>
      </c>
      <c r="D1465" s="7">
        <v>1</v>
      </c>
      <c r="E1465" s="7" t="s">
        <v>177</v>
      </c>
      <c r="F1465" s="9">
        <v>5.0199999999999996</v>
      </c>
    </row>
    <row r="1466" spans="1:6" x14ac:dyDescent="0.35">
      <c r="A1466" s="10">
        <v>1423</v>
      </c>
      <c r="B1466" s="7">
        <v>2</v>
      </c>
      <c r="C1466" s="7" t="s">
        <v>111</v>
      </c>
      <c r="D1466" s="7">
        <v>6</v>
      </c>
      <c r="E1466" s="7" t="s">
        <v>179</v>
      </c>
      <c r="F1466" s="9">
        <v>5.86</v>
      </c>
    </row>
    <row r="1467" spans="1:6" x14ac:dyDescent="0.35">
      <c r="A1467" s="10">
        <v>1423</v>
      </c>
      <c r="B1467" s="7">
        <v>3</v>
      </c>
      <c r="C1467" s="7" t="s">
        <v>76</v>
      </c>
      <c r="D1467" s="7">
        <v>4</v>
      </c>
      <c r="E1467" s="7" t="s">
        <v>179</v>
      </c>
      <c r="F1467" s="9">
        <v>5.86</v>
      </c>
    </row>
    <row r="1468" spans="1:6" x14ac:dyDescent="0.35">
      <c r="A1468" s="10">
        <v>1423</v>
      </c>
      <c r="B1468" s="7">
        <v>4</v>
      </c>
      <c r="C1468" s="7" t="s">
        <v>149</v>
      </c>
      <c r="D1468" s="7">
        <v>2</v>
      </c>
      <c r="E1468" s="7" t="s">
        <v>175</v>
      </c>
      <c r="F1468" s="9">
        <v>4.18</v>
      </c>
    </row>
    <row r="1469" spans="1:6" x14ac:dyDescent="0.35">
      <c r="A1469" s="10">
        <v>1424</v>
      </c>
      <c r="B1469" s="7">
        <v>1</v>
      </c>
      <c r="C1469" s="7" t="s">
        <v>76</v>
      </c>
      <c r="D1469" s="7">
        <v>1</v>
      </c>
      <c r="E1469" s="7" t="s">
        <v>179</v>
      </c>
      <c r="F1469" s="9">
        <v>5.86</v>
      </c>
    </row>
    <row r="1470" spans="1:6" x14ac:dyDescent="0.35">
      <c r="A1470" s="10">
        <v>1424</v>
      </c>
      <c r="B1470" s="7">
        <v>2</v>
      </c>
      <c r="C1470" s="7" t="s">
        <v>98</v>
      </c>
      <c r="D1470" s="7">
        <v>3</v>
      </c>
      <c r="E1470" s="7" t="s">
        <v>165</v>
      </c>
      <c r="F1470" s="9">
        <v>1.67</v>
      </c>
    </row>
    <row r="1471" spans="1:6" x14ac:dyDescent="0.35">
      <c r="A1471" s="10">
        <v>1425</v>
      </c>
      <c r="B1471" s="7">
        <v>1</v>
      </c>
      <c r="C1471" s="7" t="s">
        <v>130</v>
      </c>
      <c r="D1471" s="7">
        <v>4</v>
      </c>
      <c r="E1471" s="7" t="s">
        <v>165</v>
      </c>
      <c r="F1471" s="9">
        <v>1.67</v>
      </c>
    </row>
    <row r="1472" spans="1:6" x14ac:dyDescent="0.35">
      <c r="A1472" s="10">
        <v>1425</v>
      </c>
      <c r="B1472" s="7">
        <v>2</v>
      </c>
      <c r="C1472" s="7" t="s">
        <v>90</v>
      </c>
      <c r="D1472" s="7">
        <v>1</v>
      </c>
      <c r="E1472" s="7" t="s">
        <v>165</v>
      </c>
      <c r="F1472" s="9">
        <v>1.67</v>
      </c>
    </row>
    <row r="1473" spans="1:6" x14ac:dyDescent="0.35">
      <c r="A1473" s="10">
        <v>1425</v>
      </c>
      <c r="B1473" s="7">
        <v>3</v>
      </c>
      <c r="C1473" s="7" t="s">
        <v>133</v>
      </c>
      <c r="D1473" s="7">
        <v>3</v>
      </c>
      <c r="E1473" s="7" t="s">
        <v>175</v>
      </c>
      <c r="F1473" s="9">
        <v>4.18</v>
      </c>
    </row>
    <row r="1474" spans="1:6" x14ac:dyDescent="0.35">
      <c r="A1474" s="10">
        <v>1426</v>
      </c>
      <c r="B1474" s="7">
        <v>1</v>
      </c>
      <c r="C1474" s="7" t="s">
        <v>144</v>
      </c>
      <c r="D1474" s="7">
        <v>7</v>
      </c>
      <c r="E1474" s="7" t="s">
        <v>177</v>
      </c>
      <c r="F1474" s="9">
        <v>5.0199999999999996</v>
      </c>
    </row>
    <row r="1475" spans="1:6" x14ac:dyDescent="0.35">
      <c r="A1475" s="10">
        <v>1426</v>
      </c>
      <c r="B1475" s="7">
        <v>2</v>
      </c>
      <c r="C1475" s="7" t="s">
        <v>57</v>
      </c>
      <c r="D1475" s="7">
        <v>2</v>
      </c>
      <c r="E1475" s="7" t="s">
        <v>170</v>
      </c>
      <c r="F1475" s="9">
        <v>6.69</v>
      </c>
    </row>
    <row r="1476" spans="1:6" x14ac:dyDescent="0.35">
      <c r="A1476" s="10">
        <v>1426</v>
      </c>
      <c r="B1476" s="7">
        <v>3</v>
      </c>
      <c r="C1476" s="7" t="s">
        <v>79</v>
      </c>
      <c r="D1476" s="7">
        <v>4</v>
      </c>
      <c r="E1476" s="7" t="s">
        <v>192</v>
      </c>
      <c r="F1476" s="9">
        <v>2.09</v>
      </c>
    </row>
    <row r="1477" spans="1:6" x14ac:dyDescent="0.35">
      <c r="A1477" s="10">
        <v>1426</v>
      </c>
      <c r="B1477" s="7">
        <v>4</v>
      </c>
      <c r="C1477" s="7" t="s">
        <v>155</v>
      </c>
      <c r="D1477" s="7">
        <v>5</v>
      </c>
      <c r="E1477" s="7" t="s">
        <v>167</v>
      </c>
      <c r="F1477" s="9">
        <v>8.3699999999999992</v>
      </c>
    </row>
    <row r="1478" spans="1:6" x14ac:dyDescent="0.35">
      <c r="A1478" s="10">
        <v>1427</v>
      </c>
      <c r="B1478" s="7">
        <v>1</v>
      </c>
      <c r="C1478" s="7" t="s">
        <v>72</v>
      </c>
      <c r="D1478" s="7">
        <v>6</v>
      </c>
      <c r="E1478" s="7" t="s">
        <v>165</v>
      </c>
      <c r="F1478" s="9">
        <v>1.67</v>
      </c>
    </row>
    <row r="1479" spans="1:6" x14ac:dyDescent="0.35">
      <c r="A1479" s="10">
        <v>1427</v>
      </c>
      <c r="B1479" s="7">
        <v>2</v>
      </c>
      <c r="C1479" s="7" t="s">
        <v>51</v>
      </c>
      <c r="D1479" s="7">
        <v>5</v>
      </c>
      <c r="E1479" s="7" t="s">
        <v>167</v>
      </c>
      <c r="F1479" s="9">
        <v>8.3699999999999992</v>
      </c>
    </row>
    <row r="1480" spans="1:6" x14ac:dyDescent="0.35">
      <c r="A1480" s="10">
        <v>1427</v>
      </c>
      <c r="B1480" s="7">
        <v>3</v>
      </c>
      <c r="C1480" s="7" t="s">
        <v>98</v>
      </c>
      <c r="D1480" s="7">
        <v>3</v>
      </c>
      <c r="E1480" s="7" t="s">
        <v>165</v>
      </c>
      <c r="F1480" s="9">
        <v>1.67</v>
      </c>
    </row>
    <row r="1481" spans="1:6" x14ac:dyDescent="0.35">
      <c r="A1481" s="10">
        <v>1427</v>
      </c>
      <c r="B1481" s="7">
        <v>4</v>
      </c>
      <c r="C1481" s="7" t="s">
        <v>122</v>
      </c>
      <c r="D1481" s="7">
        <v>5</v>
      </c>
      <c r="E1481" s="7" t="s">
        <v>167</v>
      </c>
      <c r="F1481" s="9">
        <v>8.3699999999999992</v>
      </c>
    </row>
    <row r="1482" spans="1:6" x14ac:dyDescent="0.35">
      <c r="A1482" s="10">
        <v>1427</v>
      </c>
      <c r="B1482" s="7">
        <v>5</v>
      </c>
      <c r="C1482" s="7" t="s">
        <v>68</v>
      </c>
      <c r="D1482" s="7">
        <v>4</v>
      </c>
      <c r="E1482" s="7" t="s">
        <v>170</v>
      </c>
      <c r="F1482" s="9">
        <v>6.69</v>
      </c>
    </row>
    <row r="1483" spans="1:6" x14ac:dyDescent="0.35">
      <c r="A1483" s="10">
        <v>1428</v>
      </c>
      <c r="B1483" s="7">
        <v>1</v>
      </c>
      <c r="C1483" s="7" t="s">
        <v>132</v>
      </c>
      <c r="D1483" s="7">
        <v>7</v>
      </c>
      <c r="E1483" s="7" t="s">
        <v>170</v>
      </c>
      <c r="F1483" s="9">
        <v>6.69</v>
      </c>
    </row>
    <row r="1484" spans="1:6" x14ac:dyDescent="0.35">
      <c r="A1484" s="10">
        <v>1428</v>
      </c>
      <c r="B1484" s="7">
        <v>2</v>
      </c>
      <c r="C1484" s="7" t="s">
        <v>126</v>
      </c>
      <c r="D1484" s="7">
        <v>2</v>
      </c>
      <c r="E1484" s="7" t="s">
        <v>192</v>
      </c>
      <c r="F1484" s="9">
        <v>2.09</v>
      </c>
    </row>
    <row r="1485" spans="1:6" x14ac:dyDescent="0.35">
      <c r="A1485" s="10">
        <v>1428</v>
      </c>
      <c r="B1485" s="7">
        <v>3</v>
      </c>
      <c r="C1485" s="7" t="s">
        <v>116</v>
      </c>
      <c r="D1485" s="7">
        <v>2</v>
      </c>
      <c r="E1485" s="7" t="s">
        <v>165</v>
      </c>
      <c r="F1485" s="9">
        <v>1.67</v>
      </c>
    </row>
    <row r="1486" spans="1:6" x14ac:dyDescent="0.35">
      <c r="A1486" s="10">
        <v>1428</v>
      </c>
      <c r="B1486" s="7">
        <v>4</v>
      </c>
      <c r="C1486" s="7" t="s">
        <v>95</v>
      </c>
      <c r="D1486" s="7">
        <v>4</v>
      </c>
      <c r="E1486" s="7" t="s">
        <v>197</v>
      </c>
      <c r="F1486" s="9">
        <v>3.76</v>
      </c>
    </row>
    <row r="1487" spans="1:6" x14ac:dyDescent="0.35">
      <c r="A1487" s="10">
        <v>1429</v>
      </c>
      <c r="B1487" s="7">
        <v>1</v>
      </c>
      <c r="C1487" s="7" t="s">
        <v>97</v>
      </c>
      <c r="D1487" s="7">
        <v>4</v>
      </c>
      <c r="E1487" s="7" t="s">
        <v>165</v>
      </c>
      <c r="F1487" s="9">
        <v>1.67</v>
      </c>
    </row>
    <row r="1488" spans="1:6" x14ac:dyDescent="0.35">
      <c r="A1488" s="10">
        <v>1429</v>
      </c>
      <c r="B1488" s="7">
        <v>2</v>
      </c>
      <c r="C1488" s="7" t="s">
        <v>86</v>
      </c>
      <c r="D1488" s="7">
        <v>7</v>
      </c>
      <c r="E1488" s="7" t="s">
        <v>177</v>
      </c>
      <c r="F1488" s="9">
        <v>5.0199999999999996</v>
      </c>
    </row>
    <row r="1489" spans="1:6" x14ac:dyDescent="0.35">
      <c r="A1489" s="10">
        <v>1429</v>
      </c>
      <c r="B1489" s="7">
        <v>3</v>
      </c>
      <c r="C1489" s="7" t="s">
        <v>54</v>
      </c>
      <c r="D1489" s="7">
        <v>2</v>
      </c>
      <c r="E1489" s="7" t="s">
        <v>167</v>
      </c>
      <c r="F1489" s="9">
        <v>8.3699999999999992</v>
      </c>
    </row>
    <row r="1490" spans="1:6" x14ac:dyDescent="0.35">
      <c r="A1490" s="10">
        <v>1430</v>
      </c>
      <c r="B1490" s="7">
        <v>1</v>
      </c>
      <c r="C1490" s="7" t="s">
        <v>129</v>
      </c>
      <c r="D1490" s="7">
        <v>7</v>
      </c>
      <c r="E1490" s="7" t="s">
        <v>167</v>
      </c>
      <c r="F1490" s="9">
        <v>8.3699999999999992</v>
      </c>
    </row>
    <row r="1491" spans="1:6" x14ac:dyDescent="0.35">
      <c r="A1491" s="10">
        <v>1430</v>
      </c>
      <c r="B1491" s="7">
        <v>2</v>
      </c>
      <c r="C1491" s="7" t="s">
        <v>96</v>
      </c>
      <c r="D1491" s="7">
        <v>1</v>
      </c>
      <c r="E1491" s="7" t="s">
        <v>179</v>
      </c>
      <c r="F1491" s="9">
        <v>5.86</v>
      </c>
    </row>
    <row r="1492" spans="1:6" x14ac:dyDescent="0.35">
      <c r="A1492" s="10">
        <v>1430</v>
      </c>
      <c r="B1492" s="7">
        <v>3</v>
      </c>
      <c r="C1492" s="7" t="s">
        <v>152</v>
      </c>
      <c r="D1492" s="7">
        <v>3</v>
      </c>
      <c r="E1492" s="7" t="s">
        <v>177</v>
      </c>
      <c r="F1492" s="9">
        <v>5.0199999999999996</v>
      </c>
    </row>
    <row r="1493" spans="1:6" x14ac:dyDescent="0.35">
      <c r="A1493" s="10">
        <v>1431</v>
      </c>
      <c r="B1493" s="7">
        <v>1</v>
      </c>
      <c r="C1493" s="7" t="s">
        <v>68</v>
      </c>
      <c r="D1493" s="7">
        <v>6</v>
      </c>
      <c r="E1493" s="7" t="s">
        <v>170</v>
      </c>
      <c r="F1493" s="9">
        <v>6.69</v>
      </c>
    </row>
    <row r="1494" spans="1:6" x14ac:dyDescent="0.35">
      <c r="A1494" s="10">
        <v>1431</v>
      </c>
      <c r="B1494" s="7">
        <v>2</v>
      </c>
      <c r="C1494" s="7" t="s">
        <v>86</v>
      </c>
      <c r="D1494" s="7">
        <v>4</v>
      </c>
      <c r="E1494" s="7" t="s">
        <v>177</v>
      </c>
      <c r="F1494" s="9">
        <v>5.0199999999999996</v>
      </c>
    </row>
    <row r="1495" spans="1:6" x14ac:dyDescent="0.35">
      <c r="A1495" s="10">
        <v>1431</v>
      </c>
      <c r="B1495" s="7">
        <v>3</v>
      </c>
      <c r="C1495" s="7" t="s">
        <v>128</v>
      </c>
      <c r="D1495" s="7">
        <v>3</v>
      </c>
      <c r="E1495" s="7" t="s">
        <v>177</v>
      </c>
      <c r="F1495" s="9">
        <v>5.0199999999999996</v>
      </c>
    </row>
    <row r="1496" spans="1:6" x14ac:dyDescent="0.35">
      <c r="A1496" s="10">
        <v>1432</v>
      </c>
      <c r="B1496" s="7">
        <v>1</v>
      </c>
      <c r="C1496" s="7" t="s">
        <v>48</v>
      </c>
      <c r="D1496" s="7">
        <v>4</v>
      </c>
      <c r="E1496" s="7" t="s">
        <v>165</v>
      </c>
      <c r="F1496" s="9">
        <v>1.67</v>
      </c>
    </row>
    <row r="1497" spans="1:6" x14ac:dyDescent="0.35">
      <c r="A1497" s="10">
        <v>1432</v>
      </c>
      <c r="B1497" s="7">
        <v>2</v>
      </c>
      <c r="C1497" s="7" t="s">
        <v>134</v>
      </c>
      <c r="D1497" s="7">
        <v>4</v>
      </c>
      <c r="E1497" s="7" t="s">
        <v>177</v>
      </c>
      <c r="F1497" s="9">
        <v>5.0199999999999996</v>
      </c>
    </row>
    <row r="1498" spans="1:6" x14ac:dyDescent="0.35">
      <c r="A1498" s="10">
        <v>1433</v>
      </c>
      <c r="B1498" s="7">
        <v>1</v>
      </c>
      <c r="C1498" s="7" t="s">
        <v>88</v>
      </c>
      <c r="D1498" s="7">
        <v>3</v>
      </c>
      <c r="E1498" s="7" t="s">
        <v>175</v>
      </c>
      <c r="F1498" s="9">
        <v>4.18</v>
      </c>
    </row>
    <row r="1499" spans="1:6" x14ac:dyDescent="0.35">
      <c r="A1499" s="10">
        <v>1433</v>
      </c>
      <c r="B1499" s="7">
        <v>2</v>
      </c>
      <c r="C1499" s="7" t="s">
        <v>75</v>
      </c>
      <c r="D1499" s="7">
        <v>4</v>
      </c>
      <c r="E1499" s="7" t="s">
        <v>165</v>
      </c>
      <c r="F1499" s="9">
        <v>1.67</v>
      </c>
    </row>
    <row r="1500" spans="1:6" x14ac:dyDescent="0.35">
      <c r="A1500" s="10">
        <v>1433</v>
      </c>
      <c r="B1500" s="7">
        <v>3</v>
      </c>
      <c r="C1500" s="7" t="s">
        <v>133</v>
      </c>
      <c r="D1500" s="7">
        <v>1</v>
      </c>
      <c r="E1500" s="7" t="s">
        <v>175</v>
      </c>
      <c r="F1500" s="9">
        <v>4.18</v>
      </c>
    </row>
    <row r="1501" spans="1:6" x14ac:dyDescent="0.35">
      <c r="A1501" s="10">
        <v>1434</v>
      </c>
      <c r="B1501" s="7">
        <v>1</v>
      </c>
      <c r="C1501" s="7" t="s">
        <v>156</v>
      </c>
      <c r="D1501" s="7">
        <v>7</v>
      </c>
      <c r="E1501" s="7" t="s">
        <v>165</v>
      </c>
      <c r="F1501" s="9">
        <v>1.67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01"/>
  <sheetViews>
    <sheetView showGridLines="0" showRowColHeaders="0" zoomScale="82" zoomScaleNormal="145" workbookViewId="0">
      <selection activeCell="G11" sqref="G11"/>
      <extLst>
        <ext xmlns:xlsdti="http://schemas.microsoft.com/office/spreadsheetml/2023/showDataTypeIcons" uri="{77bfe23e-c014-4d31-8a63-9c772dbf06b6}">
          <xlsdti:showDataTypeIcons visible="0"/>
        </ext>
      </extLst>
    </sheetView>
  </sheetViews>
  <sheetFormatPr baseColWidth="10" defaultColWidth="8.81640625" defaultRowHeight="14.5" x14ac:dyDescent="0.35"/>
  <cols>
    <col min="1" max="1" width="9.54296875" style="12" bestFit="1" customWidth="1"/>
    <col min="2" max="2" width="8" style="12" bestFit="1" customWidth="1"/>
    <col min="3" max="3" width="10.453125" style="12" bestFit="1" customWidth="1"/>
    <col min="4" max="5" width="6.7265625" style="12" bestFit="1" customWidth="1"/>
    <col min="6" max="6" width="7.26953125" style="12" bestFit="1" customWidth="1"/>
    <col min="7" max="7" width="20.453125" style="12" bestFit="1" customWidth="1"/>
    <col min="8" max="8" width="14.1796875" style="12" bestFit="1" customWidth="1"/>
    <col min="9" max="9" width="8.7265625" style="12" bestFit="1" customWidth="1"/>
    <col min="10" max="10" width="10.453125" style="12" bestFit="1" customWidth="1"/>
    <col min="11" max="11" width="16.26953125" style="12" bestFit="1" customWidth="1"/>
    <col min="12" max="12" width="11.1796875" style="12" bestFit="1" customWidth="1"/>
    <col min="13" max="16384" width="8.81640625" style="12"/>
  </cols>
  <sheetData>
    <row r="1" spans="1:12" ht="25.9" customHeight="1" x14ac:dyDescent="0.35">
      <c r="A1" s="11" t="s">
        <v>17</v>
      </c>
      <c r="B1" s="11" t="s">
        <v>44</v>
      </c>
      <c r="C1" s="11" t="s">
        <v>45</v>
      </c>
      <c r="D1" s="11" t="s">
        <v>284</v>
      </c>
      <c r="E1" s="11" t="s">
        <v>23</v>
      </c>
      <c r="F1" s="11" t="s">
        <v>47</v>
      </c>
      <c r="G1" s="11" t="s">
        <v>163</v>
      </c>
      <c r="H1" s="11" t="s">
        <v>283</v>
      </c>
      <c r="I1" s="11" t="s">
        <v>285</v>
      </c>
      <c r="J1" s="11" t="s">
        <v>286</v>
      </c>
      <c r="K1" s="11" t="s">
        <v>287</v>
      </c>
      <c r="L1" s="11" t="s">
        <v>288</v>
      </c>
    </row>
    <row r="2" spans="1:12" x14ac:dyDescent="0.35">
      <c r="A2" s="12" t="s">
        <v>48</v>
      </c>
      <c r="B2" s="12" t="s">
        <v>49</v>
      </c>
      <c r="C2" s="12" t="s">
        <v>50</v>
      </c>
      <c r="E2" s="13"/>
      <c r="F2" s="14"/>
      <c r="H2" s="15"/>
    </row>
    <row r="3" spans="1:12" x14ac:dyDescent="0.35">
      <c r="A3" s="12" t="s">
        <v>51</v>
      </c>
      <c r="B3" s="12" t="s">
        <v>52</v>
      </c>
      <c r="C3" s="12" t="s">
        <v>53</v>
      </c>
      <c r="E3" s="13"/>
      <c r="F3" s="14"/>
      <c r="H3" s="15"/>
    </row>
    <row r="4" spans="1:12" x14ac:dyDescent="0.35">
      <c r="A4" s="12" t="s">
        <v>54</v>
      </c>
      <c r="B4" s="12" t="s">
        <v>55</v>
      </c>
      <c r="C4" s="12" t="s">
        <v>56</v>
      </c>
      <c r="E4" s="13"/>
      <c r="F4" s="14"/>
      <c r="H4" s="15"/>
    </row>
    <row r="5" spans="1:12" x14ac:dyDescent="0.35">
      <c r="A5" s="12" t="s">
        <v>57</v>
      </c>
      <c r="B5" s="12" t="s">
        <v>58</v>
      </c>
      <c r="C5" s="12" t="s">
        <v>59</v>
      </c>
      <c r="E5" s="13"/>
      <c r="F5" s="14"/>
      <c r="H5" s="15"/>
    </row>
    <row r="6" spans="1:12" x14ac:dyDescent="0.35">
      <c r="A6" s="12" t="s">
        <v>60</v>
      </c>
      <c r="B6" s="12" t="s">
        <v>61</v>
      </c>
      <c r="C6" s="12" t="s">
        <v>62</v>
      </c>
      <c r="E6" s="13"/>
      <c r="F6" s="14"/>
      <c r="H6" s="15"/>
    </row>
    <row r="7" spans="1:12" x14ac:dyDescent="0.35">
      <c r="A7" s="12" t="s">
        <v>63</v>
      </c>
      <c r="B7" s="12" t="s">
        <v>49</v>
      </c>
      <c r="C7" s="12" t="s">
        <v>50</v>
      </c>
      <c r="E7" s="13"/>
      <c r="F7" s="14"/>
      <c r="H7" s="15"/>
    </row>
    <row r="8" spans="1:12" x14ac:dyDescent="0.35">
      <c r="A8" s="12" t="s">
        <v>64</v>
      </c>
      <c r="B8" s="12" t="s">
        <v>52</v>
      </c>
      <c r="C8" s="12" t="s">
        <v>53</v>
      </c>
      <c r="E8" s="13"/>
      <c r="F8" s="14"/>
      <c r="H8" s="15"/>
    </row>
    <row r="9" spans="1:12" x14ac:dyDescent="0.35">
      <c r="A9" s="12" t="s">
        <v>65</v>
      </c>
      <c r="B9" s="12" t="s">
        <v>55</v>
      </c>
      <c r="C9" s="12" t="s">
        <v>56</v>
      </c>
      <c r="E9" s="13"/>
      <c r="F9" s="14"/>
      <c r="H9" s="15"/>
    </row>
    <row r="10" spans="1:12" x14ac:dyDescent="0.35">
      <c r="A10" s="12" t="s">
        <v>66</v>
      </c>
      <c r="B10" s="12" t="s">
        <v>58</v>
      </c>
      <c r="C10" s="12" t="s">
        <v>59</v>
      </c>
      <c r="E10" s="13"/>
      <c r="F10" s="14"/>
      <c r="H10" s="15"/>
    </row>
    <row r="11" spans="1:12" x14ac:dyDescent="0.35">
      <c r="A11" s="12" t="s">
        <v>67</v>
      </c>
      <c r="B11" s="12" t="s">
        <v>61</v>
      </c>
      <c r="C11" s="12" t="s">
        <v>62</v>
      </c>
      <c r="E11" s="13"/>
      <c r="F11" s="14"/>
      <c r="H11" s="15"/>
    </row>
    <row r="12" spans="1:12" x14ac:dyDescent="0.35">
      <c r="A12" s="12" t="s">
        <v>68</v>
      </c>
      <c r="B12" s="12" t="s">
        <v>49</v>
      </c>
      <c r="C12" s="12" t="s">
        <v>50</v>
      </c>
      <c r="E12" s="13"/>
      <c r="F12" s="14"/>
      <c r="H12" s="15"/>
    </row>
    <row r="13" spans="1:12" x14ac:dyDescent="0.35">
      <c r="A13" s="12" t="s">
        <v>69</v>
      </c>
      <c r="B13" s="12" t="s">
        <v>52</v>
      </c>
      <c r="C13" s="12" t="s">
        <v>53</v>
      </c>
      <c r="E13" s="13"/>
      <c r="F13" s="14"/>
      <c r="H13" s="15"/>
    </row>
    <row r="14" spans="1:12" x14ac:dyDescent="0.35">
      <c r="A14" s="12" t="s">
        <v>70</v>
      </c>
      <c r="B14" s="12" t="s">
        <v>55</v>
      </c>
      <c r="C14" s="12" t="s">
        <v>56</v>
      </c>
      <c r="E14" s="13"/>
      <c r="F14" s="14"/>
      <c r="H14" s="15"/>
    </row>
    <row r="15" spans="1:12" x14ac:dyDescent="0.35">
      <c r="A15" s="12" t="s">
        <v>71</v>
      </c>
      <c r="B15" s="12" t="s">
        <v>58</v>
      </c>
      <c r="C15" s="12" t="s">
        <v>59</v>
      </c>
      <c r="E15" s="13"/>
      <c r="F15" s="14"/>
      <c r="H15" s="15"/>
    </row>
    <row r="16" spans="1:12" x14ac:dyDescent="0.35">
      <c r="A16" s="12" t="s">
        <v>72</v>
      </c>
      <c r="B16" s="12" t="s">
        <v>61</v>
      </c>
      <c r="C16" s="12" t="s">
        <v>62</v>
      </c>
      <c r="E16" s="13"/>
      <c r="F16" s="14"/>
      <c r="H16" s="15"/>
    </row>
    <row r="17" spans="1:8" x14ac:dyDescent="0.35">
      <c r="A17" s="12" t="s">
        <v>73</v>
      </c>
      <c r="B17" s="12" t="s">
        <v>49</v>
      </c>
      <c r="C17" s="12" t="s">
        <v>50</v>
      </c>
      <c r="E17" s="13"/>
      <c r="F17" s="14"/>
      <c r="H17" s="15"/>
    </row>
    <row r="18" spans="1:8" x14ac:dyDescent="0.35">
      <c r="A18" s="12" t="s">
        <v>74</v>
      </c>
      <c r="B18" s="12" t="s">
        <v>52</v>
      </c>
      <c r="C18" s="12" t="s">
        <v>53</v>
      </c>
      <c r="E18" s="13"/>
      <c r="F18" s="14"/>
      <c r="H18" s="15"/>
    </row>
    <row r="19" spans="1:8" x14ac:dyDescent="0.35">
      <c r="A19" s="12" t="s">
        <v>75</v>
      </c>
      <c r="B19" s="12" t="s">
        <v>55</v>
      </c>
      <c r="C19" s="12" t="s">
        <v>56</v>
      </c>
      <c r="E19" s="13"/>
      <c r="F19" s="14"/>
      <c r="H19" s="15"/>
    </row>
    <row r="20" spans="1:8" x14ac:dyDescent="0.35">
      <c r="A20" s="12" t="s">
        <v>76</v>
      </c>
      <c r="B20" s="12" t="s">
        <v>58</v>
      </c>
      <c r="C20" s="12" t="s">
        <v>59</v>
      </c>
      <c r="E20" s="13"/>
      <c r="F20" s="14"/>
      <c r="H20" s="15"/>
    </row>
    <row r="21" spans="1:8" x14ac:dyDescent="0.35">
      <c r="A21" s="12" t="s">
        <v>77</v>
      </c>
      <c r="B21" s="12" t="s">
        <v>61</v>
      </c>
      <c r="C21" s="12" t="s">
        <v>62</v>
      </c>
      <c r="E21" s="13"/>
      <c r="F21" s="14"/>
      <c r="H21" s="15"/>
    </row>
    <row r="22" spans="1:8" x14ac:dyDescent="0.35">
      <c r="A22" s="12" t="s">
        <v>78</v>
      </c>
      <c r="B22" s="12" t="s">
        <v>49</v>
      </c>
      <c r="C22" s="12" t="s">
        <v>50</v>
      </c>
      <c r="E22" s="13"/>
      <c r="F22" s="14"/>
      <c r="H22" s="15"/>
    </row>
    <row r="23" spans="1:8" x14ac:dyDescent="0.35">
      <c r="A23" s="12" t="s">
        <v>79</v>
      </c>
      <c r="B23" s="12" t="s">
        <v>52</v>
      </c>
      <c r="C23" s="12" t="s">
        <v>53</v>
      </c>
      <c r="E23" s="13"/>
      <c r="F23" s="14"/>
      <c r="H23" s="15"/>
    </row>
    <row r="24" spans="1:8" x14ac:dyDescent="0.35">
      <c r="A24" s="12" t="s">
        <v>80</v>
      </c>
      <c r="B24" s="12" t="s">
        <v>55</v>
      </c>
      <c r="C24" s="12" t="s">
        <v>56</v>
      </c>
      <c r="E24" s="13"/>
      <c r="F24" s="14"/>
      <c r="H24" s="15"/>
    </row>
    <row r="25" spans="1:8" x14ac:dyDescent="0.35">
      <c r="A25" s="12" t="s">
        <v>81</v>
      </c>
      <c r="B25" s="12" t="s">
        <v>58</v>
      </c>
      <c r="C25" s="12" t="s">
        <v>59</v>
      </c>
      <c r="E25" s="13"/>
      <c r="F25" s="14"/>
      <c r="H25" s="15"/>
    </row>
    <row r="26" spans="1:8" x14ac:dyDescent="0.35">
      <c r="A26" s="12" t="s">
        <v>82</v>
      </c>
      <c r="B26" s="12" t="s">
        <v>61</v>
      </c>
      <c r="C26" s="12" t="s">
        <v>62</v>
      </c>
      <c r="E26" s="13"/>
      <c r="F26" s="14"/>
      <c r="H26" s="15"/>
    </row>
    <row r="27" spans="1:8" x14ac:dyDescent="0.35">
      <c r="A27" s="12" t="s">
        <v>83</v>
      </c>
      <c r="B27" s="12" t="s">
        <v>49</v>
      </c>
      <c r="C27" s="12" t="s">
        <v>50</v>
      </c>
      <c r="E27" s="13"/>
      <c r="F27" s="14"/>
      <c r="H27" s="15"/>
    </row>
    <row r="28" spans="1:8" x14ac:dyDescent="0.35">
      <c r="A28" s="12" t="s">
        <v>84</v>
      </c>
      <c r="B28" s="12" t="s">
        <v>52</v>
      </c>
      <c r="C28" s="12" t="s">
        <v>53</v>
      </c>
      <c r="E28" s="13"/>
      <c r="F28" s="14"/>
      <c r="H28" s="15"/>
    </row>
    <row r="29" spans="1:8" x14ac:dyDescent="0.35">
      <c r="A29" s="12" t="s">
        <v>85</v>
      </c>
      <c r="B29" s="12" t="s">
        <v>55</v>
      </c>
      <c r="C29" s="12" t="s">
        <v>56</v>
      </c>
      <c r="E29" s="13"/>
      <c r="F29" s="14"/>
      <c r="H29" s="15"/>
    </row>
    <row r="30" spans="1:8" x14ac:dyDescent="0.35">
      <c r="A30" s="12" t="s">
        <v>86</v>
      </c>
      <c r="B30" s="12" t="s">
        <v>58</v>
      </c>
      <c r="C30" s="12" t="s">
        <v>59</v>
      </c>
      <c r="E30" s="13"/>
      <c r="F30" s="14"/>
      <c r="H30" s="15"/>
    </row>
    <row r="31" spans="1:8" x14ac:dyDescent="0.35">
      <c r="A31" s="12" t="s">
        <v>87</v>
      </c>
      <c r="B31" s="12" t="s">
        <v>61</v>
      </c>
      <c r="C31" s="12" t="s">
        <v>62</v>
      </c>
      <c r="E31" s="13"/>
      <c r="F31" s="14"/>
      <c r="H31" s="15"/>
    </row>
    <row r="32" spans="1:8" x14ac:dyDescent="0.35">
      <c r="A32" s="12" t="s">
        <v>88</v>
      </c>
      <c r="B32" s="12" t="s">
        <v>49</v>
      </c>
      <c r="C32" s="12" t="s">
        <v>50</v>
      </c>
      <c r="E32" s="13"/>
      <c r="F32" s="14"/>
      <c r="H32" s="15"/>
    </row>
    <row r="33" spans="1:8" x14ac:dyDescent="0.35">
      <c r="A33" s="12" t="s">
        <v>89</v>
      </c>
      <c r="B33" s="12" t="s">
        <v>52</v>
      </c>
      <c r="C33" s="12" t="s">
        <v>53</v>
      </c>
      <c r="E33" s="13"/>
      <c r="F33" s="14"/>
      <c r="H33" s="15"/>
    </row>
    <row r="34" spans="1:8" x14ac:dyDescent="0.35">
      <c r="A34" s="12" t="s">
        <v>90</v>
      </c>
      <c r="B34" s="12" t="s">
        <v>55</v>
      </c>
      <c r="C34" s="12" t="s">
        <v>56</v>
      </c>
      <c r="E34" s="13"/>
      <c r="F34" s="14"/>
      <c r="H34" s="15"/>
    </row>
    <row r="35" spans="1:8" x14ac:dyDescent="0.35">
      <c r="A35" s="12" t="s">
        <v>91</v>
      </c>
      <c r="B35" s="12" t="s">
        <v>58</v>
      </c>
      <c r="C35" s="12" t="s">
        <v>59</v>
      </c>
      <c r="E35" s="13"/>
      <c r="F35" s="14"/>
      <c r="H35" s="15"/>
    </row>
    <row r="36" spans="1:8" x14ac:dyDescent="0.35">
      <c r="A36" s="12" t="s">
        <v>92</v>
      </c>
      <c r="B36" s="12" t="s">
        <v>61</v>
      </c>
      <c r="C36" s="12" t="s">
        <v>62</v>
      </c>
      <c r="E36" s="13"/>
      <c r="F36" s="14"/>
      <c r="H36" s="15"/>
    </row>
    <row r="37" spans="1:8" x14ac:dyDescent="0.35">
      <c r="A37" s="12" t="s">
        <v>93</v>
      </c>
      <c r="B37" s="12" t="s">
        <v>49</v>
      </c>
      <c r="C37" s="12" t="s">
        <v>50</v>
      </c>
      <c r="E37" s="13"/>
      <c r="F37" s="14"/>
      <c r="H37" s="15"/>
    </row>
    <row r="38" spans="1:8" x14ac:dyDescent="0.35">
      <c r="A38" s="12" t="s">
        <v>94</v>
      </c>
      <c r="B38" s="12" t="s">
        <v>52</v>
      </c>
      <c r="C38" s="12" t="s">
        <v>53</v>
      </c>
      <c r="E38" s="13"/>
      <c r="F38" s="14"/>
      <c r="H38" s="15"/>
    </row>
    <row r="39" spans="1:8" x14ac:dyDescent="0.35">
      <c r="A39" s="12" t="s">
        <v>95</v>
      </c>
      <c r="B39" s="12" t="s">
        <v>55</v>
      </c>
      <c r="C39" s="12" t="s">
        <v>56</v>
      </c>
      <c r="E39" s="13"/>
      <c r="F39" s="14"/>
      <c r="H39" s="15"/>
    </row>
    <row r="40" spans="1:8" x14ac:dyDescent="0.35">
      <c r="A40" s="12" t="s">
        <v>96</v>
      </c>
      <c r="B40" s="12" t="s">
        <v>58</v>
      </c>
      <c r="C40" s="12" t="s">
        <v>59</v>
      </c>
      <c r="E40" s="13"/>
      <c r="F40" s="14"/>
      <c r="H40" s="15"/>
    </row>
    <row r="41" spans="1:8" x14ac:dyDescent="0.35">
      <c r="A41" s="12" t="s">
        <v>97</v>
      </c>
      <c r="B41" s="12" t="s">
        <v>61</v>
      </c>
      <c r="C41" s="12" t="s">
        <v>62</v>
      </c>
      <c r="E41" s="13"/>
      <c r="F41" s="14"/>
      <c r="H41" s="15"/>
    </row>
    <row r="42" spans="1:8" x14ac:dyDescent="0.35">
      <c r="A42" s="12" t="s">
        <v>98</v>
      </c>
      <c r="B42" s="12" t="s">
        <v>49</v>
      </c>
      <c r="C42" s="12" t="s">
        <v>50</v>
      </c>
      <c r="E42" s="13"/>
      <c r="F42" s="14"/>
      <c r="H42" s="15"/>
    </row>
    <row r="43" spans="1:8" x14ac:dyDescent="0.35">
      <c r="A43" s="12" t="s">
        <v>99</v>
      </c>
      <c r="B43" s="12" t="s">
        <v>52</v>
      </c>
      <c r="C43" s="12" t="s">
        <v>53</v>
      </c>
      <c r="E43" s="13"/>
      <c r="F43" s="14"/>
      <c r="H43" s="15"/>
    </row>
    <row r="44" spans="1:8" x14ac:dyDescent="0.35">
      <c r="A44" s="12" t="s">
        <v>100</v>
      </c>
      <c r="B44" s="12" t="s">
        <v>55</v>
      </c>
      <c r="C44" s="12" t="s">
        <v>56</v>
      </c>
      <c r="E44" s="13"/>
      <c r="F44" s="14"/>
      <c r="H44" s="15"/>
    </row>
    <row r="45" spans="1:8" x14ac:dyDescent="0.35">
      <c r="A45" s="12" t="s">
        <v>101</v>
      </c>
      <c r="B45" s="12" t="s">
        <v>58</v>
      </c>
      <c r="C45" s="12" t="s">
        <v>59</v>
      </c>
      <c r="E45" s="13"/>
      <c r="F45" s="14"/>
      <c r="H45" s="15"/>
    </row>
    <row r="46" spans="1:8" x14ac:dyDescent="0.35">
      <c r="A46" s="12" t="s">
        <v>102</v>
      </c>
      <c r="B46" s="12" t="s">
        <v>61</v>
      </c>
      <c r="C46" s="12" t="s">
        <v>62</v>
      </c>
      <c r="E46" s="13"/>
      <c r="F46" s="14"/>
      <c r="H46" s="15"/>
    </row>
    <row r="47" spans="1:8" x14ac:dyDescent="0.35">
      <c r="A47" s="12" t="s">
        <v>103</v>
      </c>
      <c r="B47" s="12" t="s">
        <v>49</v>
      </c>
      <c r="C47" s="12" t="s">
        <v>50</v>
      </c>
      <c r="E47" s="13"/>
      <c r="F47" s="14"/>
      <c r="H47" s="15"/>
    </row>
    <row r="48" spans="1:8" x14ac:dyDescent="0.35">
      <c r="A48" s="12" t="s">
        <v>104</v>
      </c>
      <c r="B48" s="12" t="s">
        <v>52</v>
      </c>
      <c r="C48" s="12" t="s">
        <v>53</v>
      </c>
      <c r="E48" s="13"/>
      <c r="F48" s="14"/>
      <c r="H48" s="15"/>
    </row>
    <row r="49" spans="1:8" x14ac:dyDescent="0.35">
      <c r="A49" s="12" t="s">
        <v>105</v>
      </c>
      <c r="B49" s="12" t="s">
        <v>55</v>
      </c>
      <c r="C49" s="12" t="s">
        <v>56</v>
      </c>
      <c r="E49" s="13"/>
      <c r="F49" s="14"/>
      <c r="H49" s="15"/>
    </row>
    <row r="50" spans="1:8" x14ac:dyDescent="0.35">
      <c r="A50" s="12" t="s">
        <v>106</v>
      </c>
      <c r="B50" s="12" t="s">
        <v>58</v>
      </c>
      <c r="C50" s="12" t="s">
        <v>59</v>
      </c>
      <c r="E50" s="13"/>
      <c r="F50" s="14"/>
      <c r="H50" s="15"/>
    </row>
    <row r="51" spans="1:8" x14ac:dyDescent="0.35">
      <c r="A51" s="12" t="s">
        <v>107</v>
      </c>
      <c r="B51" s="12" t="s">
        <v>61</v>
      </c>
      <c r="C51" s="12" t="s">
        <v>62</v>
      </c>
      <c r="E51" s="13"/>
      <c r="F51" s="14"/>
      <c r="H51" s="15"/>
    </row>
    <row r="52" spans="1:8" x14ac:dyDescent="0.35">
      <c r="A52" s="12" t="s">
        <v>108</v>
      </c>
      <c r="B52" s="12" t="s">
        <v>49</v>
      </c>
      <c r="C52" s="12" t="s">
        <v>50</v>
      </c>
      <c r="E52" s="13"/>
      <c r="F52" s="14"/>
      <c r="H52" s="15"/>
    </row>
    <row r="53" spans="1:8" x14ac:dyDescent="0.35">
      <c r="A53" s="12" t="s">
        <v>109</v>
      </c>
      <c r="B53" s="12" t="s">
        <v>52</v>
      </c>
      <c r="C53" s="12" t="s">
        <v>53</v>
      </c>
      <c r="E53" s="13"/>
      <c r="F53" s="14"/>
      <c r="H53" s="15"/>
    </row>
    <row r="54" spans="1:8" x14ac:dyDescent="0.35">
      <c r="A54" s="12" t="s">
        <v>110</v>
      </c>
      <c r="B54" s="12" t="s">
        <v>55</v>
      </c>
      <c r="C54" s="12" t="s">
        <v>56</v>
      </c>
      <c r="E54" s="13"/>
      <c r="F54" s="14"/>
      <c r="H54" s="15"/>
    </row>
    <row r="55" spans="1:8" x14ac:dyDescent="0.35">
      <c r="A55" s="12" t="s">
        <v>111</v>
      </c>
      <c r="B55" s="12" t="s">
        <v>58</v>
      </c>
      <c r="C55" s="12" t="s">
        <v>59</v>
      </c>
      <c r="E55" s="13"/>
      <c r="F55" s="14"/>
      <c r="H55" s="15"/>
    </row>
    <row r="56" spans="1:8" x14ac:dyDescent="0.35">
      <c r="A56" s="12" t="s">
        <v>112</v>
      </c>
      <c r="B56" s="12" t="s">
        <v>61</v>
      </c>
      <c r="C56" s="12" t="s">
        <v>62</v>
      </c>
      <c r="E56" s="13"/>
      <c r="F56" s="14"/>
      <c r="H56" s="15"/>
    </row>
    <row r="57" spans="1:8" x14ac:dyDescent="0.35">
      <c r="A57" s="12" t="s">
        <v>113</v>
      </c>
      <c r="B57" s="12" t="s">
        <v>49</v>
      </c>
      <c r="C57" s="12" t="s">
        <v>50</v>
      </c>
      <c r="E57" s="13"/>
      <c r="F57" s="14"/>
      <c r="H57" s="15"/>
    </row>
    <row r="58" spans="1:8" x14ac:dyDescent="0.35">
      <c r="A58" s="12" t="s">
        <v>114</v>
      </c>
      <c r="B58" s="12" t="s">
        <v>52</v>
      </c>
      <c r="C58" s="12" t="s">
        <v>53</v>
      </c>
      <c r="E58" s="13"/>
      <c r="F58" s="14"/>
      <c r="H58" s="15"/>
    </row>
    <row r="59" spans="1:8" x14ac:dyDescent="0.35">
      <c r="A59" s="12" t="s">
        <v>115</v>
      </c>
      <c r="B59" s="12" t="s">
        <v>55</v>
      </c>
      <c r="C59" s="12" t="s">
        <v>56</v>
      </c>
      <c r="E59" s="13"/>
      <c r="F59" s="14"/>
      <c r="H59" s="15"/>
    </row>
    <row r="60" spans="1:8" x14ac:dyDescent="0.35">
      <c r="A60" s="12" t="s">
        <v>116</v>
      </c>
      <c r="B60" s="12" t="s">
        <v>58</v>
      </c>
      <c r="C60" s="12" t="s">
        <v>59</v>
      </c>
      <c r="E60" s="13"/>
      <c r="F60" s="14"/>
      <c r="H60" s="15"/>
    </row>
    <row r="61" spans="1:8" x14ac:dyDescent="0.35">
      <c r="A61" s="12" t="s">
        <v>117</v>
      </c>
      <c r="B61" s="12" t="s">
        <v>61</v>
      </c>
      <c r="C61" s="12" t="s">
        <v>62</v>
      </c>
      <c r="E61" s="13"/>
      <c r="F61" s="14"/>
      <c r="H61" s="15"/>
    </row>
    <row r="62" spans="1:8" x14ac:dyDescent="0.35">
      <c r="A62" s="12" t="s">
        <v>118</v>
      </c>
      <c r="B62" s="12" t="s">
        <v>49</v>
      </c>
      <c r="C62" s="12" t="s">
        <v>50</v>
      </c>
      <c r="E62" s="13"/>
      <c r="F62" s="14"/>
      <c r="H62" s="15"/>
    </row>
    <row r="63" spans="1:8" x14ac:dyDescent="0.35">
      <c r="A63" s="12" t="s">
        <v>119</v>
      </c>
      <c r="B63" s="12" t="s">
        <v>52</v>
      </c>
      <c r="C63" s="12" t="s">
        <v>53</v>
      </c>
      <c r="E63" s="13"/>
      <c r="F63" s="14"/>
      <c r="H63" s="15"/>
    </row>
    <row r="64" spans="1:8" x14ac:dyDescent="0.35">
      <c r="A64" s="12" t="s">
        <v>120</v>
      </c>
      <c r="B64" s="12" t="s">
        <v>55</v>
      </c>
      <c r="C64" s="12" t="s">
        <v>56</v>
      </c>
      <c r="E64" s="13"/>
      <c r="F64" s="14"/>
      <c r="H64" s="15"/>
    </row>
    <row r="65" spans="1:8" x14ac:dyDescent="0.35">
      <c r="A65" s="12" t="s">
        <v>121</v>
      </c>
      <c r="B65" s="12" t="s">
        <v>58</v>
      </c>
      <c r="C65" s="12" t="s">
        <v>59</v>
      </c>
      <c r="E65" s="13"/>
      <c r="F65" s="14"/>
      <c r="H65" s="15"/>
    </row>
    <row r="66" spans="1:8" x14ac:dyDescent="0.35">
      <c r="A66" s="12" t="s">
        <v>122</v>
      </c>
      <c r="B66" s="12" t="s">
        <v>61</v>
      </c>
      <c r="C66" s="12" t="s">
        <v>62</v>
      </c>
      <c r="E66" s="13"/>
      <c r="F66" s="14"/>
      <c r="H66" s="15"/>
    </row>
    <row r="67" spans="1:8" x14ac:dyDescent="0.35">
      <c r="A67" s="12" t="s">
        <v>123</v>
      </c>
      <c r="B67" s="12" t="s">
        <v>49</v>
      </c>
      <c r="C67" s="12" t="s">
        <v>50</v>
      </c>
      <c r="E67" s="13"/>
      <c r="F67" s="14"/>
      <c r="H67" s="15"/>
    </row>
    <row r="68" spans="1:8" x14ac:dyDescent="0.35">
      <c r="A68" s="12" t="s">
        <v>124</v>
      </c>
      <c r="B68" s="12" t="s">
        <v>52</v>
      </c>
      <c r="C68" s="12" t="s">
        <v>53</v>
      </c>
      <c r="E68" s="13"/>
      <c r="F68" s="14"/>
      <c r="H68" s="15"/>
    </row>
    <row r="69" spans="1:8" x14ac:dyDescent="0.35">
      <c r="A69" s="12" t="s">
        <v>125</v>
      </c>
      <c r="B69" s="12" t="s">
        <v>55</v>
      </c>
      <c r="C69" s="12" t="s">
        <v>56</v>
      </c>
      <c r="E69" s="13"/>
      <c r="F69" s="14"/>
      <c r="H69" s="15"/>
    </row>
    <row r="70" spans="1:8" x14ac:dyDescent="0.35">
      <c r="A70" s="12" t="s">
        <v>126</v>
      </c>
      <c r="B70" s="12" t="s">
        <v>58</v>
      </c>
      <c r="C70" s="12" t="s">
        <v>59</v>
      </c>
      <c r="E70" s="13"/>
      <c r="F70" s="14"/>
      <c r="H70" s="15"/>
    </row>
    <row r="71" spans="1:8" x14ac:dyDescent="0.35">
      <c r="A71" s="12" t="s">
        <v>127</v>
      </c>
      <c r="B71" s="12" t="s">
        <v>61</v>
      </c>
      <c r="C71" s="12" t="s">
        <v>62</v>
      </c>
      <c r="E71" s="13"/>
      <c r="F71" s="14"/>
      <c r="H71" s="15"/>
    </row>
    <row r="72" spans="1:8" x14ac:dyDescent="0.35">
      <c r="A72" s="12" t="s">
        <v>128</v>
      </c>
      <c r="B72" s="12" t="s">
        <v>49</v>
      </c>
      <c r="C72" s="12" t="s">
        <v>50</v>
      </c>
      <c r="E72" s="13"/>
      <c r="F72" s="14"/>
      <c r="H72" s="15"/>
    </row>
    <row r="73" spans="1:8" x14ac:dyDescent="0.35">
      <c r="A73" s="12" t="s">
        <v>129</v>
      </c>
      <c r="B73" s="12" t="s">
        <v>52</v>
      </c>
      <c r="C73" s="12" t="s">
        <v>53</v>
      </c>
      <c r="E73" s="13"/>
      <c r="F73" s="14"/>
      <c r="H73" s="15"/>
    </row>
    <row r="74" spans="1:8" x14ac:dyDescent="0.35">
      <c r="A74" s="12" t="s">
        <v>130</v>
      </c>
      <c r="B74" s="12" t="s">
        <v>55</v>
      </c>
      <c r="C74" s="12" t="s">
        <v>56</v>
      </c>
      <c r="E74" s="13"/>
      <c r="F74" s="14"/>
      <c r="H74" s="15"/>
    </row>
    <row r="75" spans="1:8" x14ac:dyDescent="0.35">
      <c r="A75" s="12" t="s">
        <v>131</v>
      </c>
      <c r="B75" s="12" t="s">
        <v>58</v>
      </c>
      <c r="C75" s="12" t="s">
        <v>59</v>
      </c>
      <c r="E75" s="13"/>
      <c r="F75" s="14"/>
      <c r="H75" s="15"/>
    </row>
    <row r="76" spans="1:8" x14ac:dyDescent="0.35">
      <c r="A76" s="12" t="s">
        <v>132</v>
      </c>
      <c r="B76" s="12" t="s">
        <v>61</v>
      </c>
      <c r="C76" s="12" t="s">
        <v>62</v>
      </c>
      <c r="E76" s="13"/>
      <c r="F76" s="14"/>
      <c r="H76" s="15"/>
    </row>
    <row r="77" spans="1:8" x14ac:dyDescent="0.35">
      <c r="A77" s="12" t="s">
        <v>133</v>
      </c>
      <c r="B77" s="12" t="s">
        <v>49</v>
      </c>
      <c r="C77" s="12" t="s">
        <v>50</v>
      </c>
      <c r="E77" s="13"/>
      <c r="F77" s="14"/>
      <c r="H77" s="15"/>
    </row>
    <row r="78" spans="1:8" x14ac:dyDescent="0.35">
      <c r="A78" s="12" t="s">
        <v>134</v>
      </c>
      <c r="B78" s="12" t="s">
        <v>52</v>
      </c>
      <c r="C78" s="12" t="s">
        <v>53</v>
      </c>
      <c r="E78" s="13"/>
      <c r="F78" s="14"/>
      <c r="H78" s="15"/>
    </row>
    <row r="79" spans="1:8" x14ac:dyDescent="0.35">
      <c r="A79" s="12" t="s">
        <v>135</v>
      </c>
      <c r="B79" s="12" t="s">
        <v>55</v>
      </c>
      <c r="C79" s="12" t="s">
        <v>56</v>
      </c>
      <c r="E79" s="13"/>
      <c r="F79" s="14"/>
      <c r="H79" s="15"/>
    </row>
    <row r="80" spans="1:8" x14ac:dyDescent="0.35">
      <c r="A80" s="12" t="s">
        <v>136</v>
      </c>
      <c r="B80" s="12" t="s">
        <v>58</v>
      </c>
      <c r="C80" s="12" t="s">
        <v>59</v>
      </c>
      <c r="E80" s="13"/>
      <c r="F80" s="14"/>
      <c r="H80" s="15"/>
    </row>
    <row r="81" spans="1:8" x14ac:dyDescent="0.35">
      <c r="A81" s="12" t="s">
        <v>137</v>
      </c>
      <c r="B81" s="12" t="s">
        <v>61</v>
      </c>
      <c r="C81" s="12" t="s">
        <v>62</v>
      </c>
      <c r="E81" s="13"/>
      <c r="F81" s="14"/>
      <c r="H81" s="15"/>
    </row>
    <row r="82" spans="1:8" x14ac:dyDescent="0.35">
      <c r="A82" s="12" t="s">
        <v>138</v>
      </c>
      <c r="B82" s="12" t="s">
        <v>49</v>
      </c>
      <c r="C82" s="12" t="s">
        <v>50</v>
      </c>
      <c r="E82" s="13"/>
      <c r="F82" s="14"/>
      <c r="H82" s="15"/>
    </row>
    <row r="83" spans="1:8" x14ac:dyDescent="0.35">
      <c r="A83" s="12" t="s">
        <v>139</v>
      </c>
      <c r="B83" s="12" t="s">
        <v>52</v>
      </c>
      <c r="C83" s="12" t="s">
        <v>53</v>
      </c>
      <c r="E83" s="13"/>
      <c r="F83" s="14"/>
      <c r="H83" s="15"/>
    </row>
    <row r="84" spans="1:8" x14ac:dyDescent="0.35">
      <c r="A84" s="12" t="s">
        <v>140</v>
      </c>
      <c r="B84" s="12" t="s">
        <v>55</v>
      </c>
      <c r="C84" s="12" t="s">
        <v>56</v>
      </c>
      <c r="E84" s="13"/>
      <c r="F84" s="14"/>
      <c r="H84" s="15"/>
    </row>
    <row r="85" spans="1:8" x14ac:dyDescent="0.35">
      <c r="A85" s="12" t="s">
        <v>141</v>
      </c>
      <c r="B85" s="12" t="s">
        <v>58</v>
      </c>
      <c r="C85" s="12" t="s">
        <v>59</v>
      </c>
      <c r="E85" s="13"/>
      <c r="F85" s="14"/>
      <c r="H85" s="15"/>
    </row>
    <row r="86" spans="1:8" x14ac:dyDescent="0.35">
      <c r="A86" s="12" t="s">
        <v>142</v>
      </c>
      <c r="B86" s="12" t="s">
        <v>61</v>
      </c>
      <c r="C86" s="12" t="s">
        <v>62</v>
      </c>
      <c r="E86" s="13"/>
      <c r="F86" s="14"/>
      <c r="H86" s="15"/>
    </row>
    <row r="87" spans="1:8" x14ac:dyDescent="0.35">
      <c r="A87" s="12" t="s">
        <v>143</v>
      </c>
      <c r="B87" s="12" t="s">
        <v>49</v>
      </c>
      <c r="C87" s="12" t="s">
        <v>50</v>
      </c>
      <c r="E87" s="13"/>
      <c r="F87" s="14"/>
      <c r="H87" s="15"/>
    </row>
    <row r="88" spans="1:8" x14ac:dyDescent="0.35">
      <c r="A88" s="12" t="s">
        <v>144</v>
      </c>
      <c r="B88" s="12" t="s">
        <v>52</v>
      </c>
      <c r="C88" s="12" t="s">
        <v>53</v>
      </c>
      <c r="E88" s="13"/>
      <c r="F88" s="14"/>
      <c r="H88" s="15"/>
    </row>
    <row r="89" spans="1:8" x14ac:dyDescent="0.35">
      <c r="A89" s="12" t="s">
        <v>145</v>
      </c>
      <c r="B89" s="12" t="s">
        <v>55</v>
      </c>
      <c r="C89" s="12" t="s">
        <v>56</v>
      </c>
      <c r="E89" s="13"/>
      <c r="F89" s="14"/>
      <c r="H89" s="15"/>
    </row>
    <row r="90" spans="1:8" x14ac:dyDescent="0.35">
      <c r="A90" s="12" t="s">
        <v>146</v>
      </c>
      <c r="B90" s="12" t="s">
        <v>58</v>
      </c>
      <c r="C90" s="12" t="s">
        <v>59</v>
      </c>
      <c r="E90" s="13"/>
      <c r="F90" s="14"/>
      <c r="H90" s="15"/>
    </row>
    <row r="91" spans="1:8" x14ac:dyDescent="0.35">
      <c r="A91" s="12" t="s">
        <v>147</v>
      </c>
      <c r="B91" s="12" t="s">
        <v>61</v>
      </c>
      <c r="C91" s="12" t="s">
        <v>62</v>
      </c>
      <c r="E91" s="13"/>
      <c r="F91" s="14"/>
      <c r="H91" s="15"/>
    </row>
    <row r="92" spans="1:8" x14ac:dyDescent="0.35">
      <c r="A92" s="12" t="s">
        <v>148</v>
      </c>
      <c r="B92" s="12" t="s">
        <v>49</v>
      </c>
      <c r="C92" s="12" t="s">
        <v>50</v>
      </c>
      <c r="E92" s="13"/>
      <c r="F92" s="14"/>
      <c r="H92" s="15"/>
    </row>
    <row r="93" spans="1:8" x14ac:dyDescent="0.35">
      <c r="A93" s="12" t="s">
        <v>149</v>
      </c>
      <c r="B93" s="12" t="s">
        <v>52</v>
      </c>
      <c r="C93" s="12" t="s">
        <v>53</v>
      </c>
      <c r="E93" s="13"/>
      <c r="F93" s="14"/>
      <c r="H93" s="15"/>
    </row>
    <row r="94" spans="1:8" x14ac:dyDescent="0.35">
      <c r="A94" s="12" t="s">
        <v>150</v>
      </c>
      <c r="B94" s="12" t="s">
        <v>55</v>
      </c>
      <c r="C94" s="12" t="s">
        <v>56</v>
      </c>
      <c r="E94" s="13"/>
      <c r="F94" s="14"/>
      <c r="H94" s="15"/>
    </row>
    <row r="95" spans="1:8" x14ac:dyDescent="0.35">
      <c r="A95" s="12" t="s">
        <v>151</v>
      </c>
      <c r="B95" s="12" t="s">
        <v>58</v>
      </c>
      <c r="C95" s="12" t="s">
        <v>59</v>
      </c>
      <c r="E95" s="13"/>
      <c r="F95" s="14"/>
      <c r="H95" s="15"/>
    </row>
    <row r="96" spans="1:8" x14ac:dyDescent="0.35">
      <c r="A96" s="12" t="s">
        <v>152</v>
      </c>
      <c r="B96" s="12" t="s">
        <v>61</v>
      </c>
      <c r="C96" s="12" t="s">
        <v>62</v>
      </c>
      <c r="E96" s="13"/>
      <c r="F96" s="14"/>
      <c r="H96" s="15"/>
    </row>
    <row r="97" spans="1:8" x14ac:dyDescent="0.35">
      <c r="A97" s="12" t="s">
        <v>153</v>
      </c>
      <c r="B97" s="12" t="s">
        <v>49</v>
      </c>
      <c r="C97" s="12" t="s">
        <v>50</v>
      </c>
      <c r="E97" s="13"/>
      <c r="F97" s="14"/>
      <c r="H97" s="15"/>
    </row>
    <row r="98" spans="1:8" x14ac:dyDescent="0.35">
      <c r="A98" s="12" t="s">
        <v>154</v>
      </c>
      <c r="B98" s="12" t="s">
        <v>52</v>
      </c>
      <c r="C98" s="12" t="s">
        <v>53</v>
      </c>
      <c r="E98" s="13"/>
      <c r="F98" s="14"/>
      <c r="H98" s="15"/>
    </row>
    <row r="99" spans="1:8" x14ac:dyDescent="0.35">
      <c r="A99" s="12" t="s">
        <v>155</v>
      </c>
      <c r="B99" s="12" t="s">
        <v>55</v>
      </c>
      <c r="C99" s="12" t="s">
        <v>56</v>
      </c>
      <c r="E99" s="13"/>
      <c r="F99" s="14"/>
      <c r="H99" s="15"/>
    </row>
    <row r="100" spans="1:8" x14ac:dyDescent="0.35">
      <c r="A100" s="12" t="s">
        <v>156</v>
      </c>
      <c r="B100" s="12" t="s">
        <v>58</v>
      </c>
      <c r="C100" s="12" t="s">
        <v>59</v>
      </c>
      <c r="E100" s="13"/>
      <c r="F100" s="14"/>
      <c r="H100" s="15"/>
    </row>
    <row r="101" spans="1:8" x14ac:dyDescent="0.35">
      <c r="A101" s="12" t="s">
        <v>157</v>
      </c>
      <c r="B101" s="12" t="s">
        <v>61</v>
      </c>
      <c r="C101" s="12" t="s">
        <v>62</v>
      </c>
      <c r="E101" s="13"/>
      <c r="F101" s="14"/>
      <c r="H101" s="15"/>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5193B-C424-43A6-9080-507AC56AF2D0}">
  <dimension ref="A1:AA112"/>
  <sheetViews>
    <sheetView topLeftCell="P1" workbookViewId="0">
      <pane ySplit="4" topLeftCell="A41" activePane="bottomLeft" state="frozen"/>
      <selection pane="bottomLeft"/>
    </sheetView>
  </sheetViews>
  <sheetFormatPr baseColWidth="10" defaultRowHeight="14.5" x14ac:dyDescent="0.35"/>
  <cols>
    <col min="1" max="1" width="78.453125" bestFit="1" customWidth="1"/>
    <col min="2" max="2" width="7.81640625" bestFit="1" customWidth="1"/>
    <col min="3" max="3" width="10.36328125" bestFit="1" customWidth="1"/>
    <col min="4" max="4" width="9.7265625" bestFit="1" customWidth="1"/>
    <col min="5" max="5" width="4.1796875" bestFit="1" customWidth="1"/>
    <col min="6" max="6" width="20" bestFit="1" customWidth="1"/>
    <col min="7" max="7" width="12.7265625" bestFit="1" customWidth="1"/>
    <col min="8" max="8" width="9.81640625" bestFit="1" customWidth="1"/>
    <col min="9" max="9" width="9.453125" bestFit="1" customWidth="1"/>
    <col min="10" max="10" width="8" bestFit="1" customWidth="1"/>
    <col min="11" max="11" width="17.1796875" bestFit="1" customWidth="1"/>
    <col min="12" max="12" width="12.1796875" bestFit="1" customWidth="1"/>
    <col min="13" max="13" width="11.08984375" bestFit="1" customWidth="1"/>
    <col min="16" max="16" width="58.6328125" bestFit="1" customWidth="1"/>
    <col min="17" max="17" width="41.453125" bestFit="1" customWidth="1"/>
    <col min="18" max="18" width="18.453125" bestFit="1" customWidth="1"/>
    <col min="19" max="19" width="20" bestFit="1" customWidth="1"/>
    <col min="20" max="20" width="13.6328125" bestFit="1" customWidth="1"/>
    <col min="21" max="21" width="10" bestFit="1" customWidth="1"/>
    <col min="22" max="22" width="11.1796875" bestFit="1" customWidth="1"/>
    <col min="23" max="23" width="15.453125" bestFit="1" customWidth="1"/>
    <col min="24" max="24" width="13" bestFit="1" customWidth="1"/>
    <col min="25" max="26" width="5.6328125" bestFit="1" customWidth="1"/>
    <col min="27" max="27" width="8.81640625" bestFit="1" customWidth="1"/>
  </cols>
  <sheetData>
    <row r="1" spans="1:20" ht="17" x14ac:dyDescent="0.4">
      <c r="A1" s="25" t="s">
        <v>302</v>
      </c>
      <c r="P1" s="27">
        <v>4</v>
      </c>
      <c r="Q1" s="29" t="s">
        <v>313</v>
      </c>
    </row>
    <row r="2" spans="1:20" x14ac:dyDescent="0.35">
      <c r="A2" s="26" t="s">
        <v>303</v>
      </c>
    </row>
    <row r="4" spans="1:20" ht="32" customHeight="1" x14ac:dyDescent="0.35">
      <c r="A4" s="48" t="s">
        <v>17</v>
      </c>
      <c r="B4" s="49" t="s">
        <v>44</v>
      </c>
      <c r="C4" s="49" t="s">
        <v>45</v>
      </c>
      <c r="D4" s="49" t="s">
        <v>304</v>
      </c>
      <c r="E4" s="49" t="s">
        <v>21</v>
      </c>
      <c r="F4" s="49" t="s">
        <v>305</v>
      </c>
      <c r="G4" s="49" t="s">
        <v>306</v>
      </c>
      <c r="H4" s="49" t="s">
        <v>307</v>
      </c>
      <c r="I4" s="49" t="s">
        <v>308</v>
      </c>
      <c r="J4" s="49" t="s">
        <v>309</v>
      </c>
      <c r="K4" s="49" t="s">
        <v>310</v>
      </c>
      <c r="L4" s="49" t="s">
        <v>311</v>
      </c>
      <c r="M4" s="50" t="s">
        <v>312</v>
      </c>
      <c r="P4" s="55" t="s">
        <v>314</v>
      </c>
      <c r="Q4" s="30" t="s">
        <v>17</v>
      </c>
      <c r="R4" s="30" t="s">
        <v>315</v>
      </c>
      <c r="S4" s="30" t="s">
        <v>316</v>
      </c>
      <c r="T4" s="56" t="s">
        <v>317</v>
      </c>
    </row>
    <row r="5" spans="1:20" x14ac:dyDescent="0.35">
      <c r="A5" s="32" t="str">
        <f>STOCK_ACTUAL!B2</f>
        <v>SKU00001</v>
      </c>
      <c r="B5" s="33" t="str">
        <f>STOCK_ACTUAL!C2</f>
        <v>Marca A</v>
      </c>
      <c r="C5" s="33" t="str">
        <f>STOCK_ACTUAL!D2</f>
        <v>Filtros</v>
      </c>
      <c r="D5" s="34">
        <f>_xlfn.XLOOKUP($A5,ROTACIÓN!$A$2:$A$101,ROTACIÓN!$B$2:$B$101)</f>
        <v>422</v>
      </c>
      <c r="E5" s="35" t="str">
        <f>_xlfn.XLOOKUP($A5,ROTACIÓN!$A$2:$A$101,ROTACIÓN!$C$2:$C$101)</f>
        <v>A</v>
      </c>
      <c r="F5" s="33" t="str">
        <f>STOCK_ACTUAL!E2</f>
        <v>2. PISO</v>
      </c>
      <c r="G5" s="36">
        <f>_xlfn.XLOOKUP($F5,LAYOUT_CD!$A$2:$A$10,LAYOUT_CD!$C$2:$C$10)</f>
        <v>1.6</v>
      </c>
      <c r="H5" s="34">
        <f>_xlfn.XLOOKUP($F5,LAYOUT_CD!$A$2:$A$10,LAYOUT_CD!$B$2:$B$10)</f>
        <v>10</v>
      </c>
      <c r="I5" s="37">
        <f>STOCK_ACTUAL!F2</f>
        <v>0.21854305348131309</v>
      </c>
      <c r="J5" s="38">
        <f>STOCK_ACTUAL!G2</f>
        <v>2.055744691493345</v>
      </c>
      <c r="K5" s="34">
        <f>$D5*$G5</f>
        <v>675.2</v>
      </c>
      <c r="L5" s="35" t="str">
        <f>IF($G5&gt;$P$1,"SÍ","NO")</f>
        <v>NO</v>
      </c>
      <c r="M5" s="39" t="str">
        <f>IF(AND($E5="A",$L5="SÍ"),"SÍ","NO")</f>
        <v>NO</v>
      </c>
      <c r="P5" s="32" t="s">
        <v>318</v>
      </c>
      <c r="Q5" s="34">
        <f>COUNTIF($E$5:$E$104,"A")</f>
        <v>39</v>
      </c>
      <c r="R5" s="57">
        <f>Q5/$Q$8</f>
        <v>0.39</v>
      </c>
      <c r="S5" s="34">
        <f>SUMIF($E$5:$E$104,"A",$D$5:$D$104)</f>
        <v>16399</v>
      </c>
      <c r="T5" s="58">
        <f>S5/$S$8</f>
        <v>0.55048674051695201</v>
      </c>
    </row>
    <row r="6" spans="1:20" x14ac:dyDescent="0.35">
      <c r="A6" s="32" t="str">
        <f>STOCK_ACTUAL!B3</f>
        <v>SKU00002</v>
      </c>
      <c r="B6" s="33" t="str">
        <f>STOCK_ACTUAL!C3</f>
        <v>Marca B</v>
      </c>
      <c r="C6" s="33" t="str">
        <f>STOCK_ACTUAL!D3</f>
        <v>Lubricantes</v>
      </c>
      <c r="D6" s="34">
        <f>_xlfn.XLOOKUP($A6,ROTACIÓN!$A$2:$A$101,ROTACIÓN!$B$2:$B$101)</f>
        <v>236</v>
      </c>
      <c r="E6" s="35" t="str">
        <f>_xlfn.XLOOKUP($A6,ROTACIÓN!$A$2:$A$101,ROTACIÓN!$C$2:$C$101)</f>
        <v>B</v>
      </c>
      <c r="F6" s="33" t="str">
        <f>STOCK_ACTUAL!E3</f>
        <v>1. LLANTAS</v>
      </c>
      <c r="G6" s="36">
        <f>_xlfn.XLOOKUP($F6,LAYOUT_CD!$A$2:$A$10,LAYOUT_CD!$C$2:$C$10)</f>
        <v>8.0399999999999991</v>
      </c>
      <c r="H6" s="34">
        <f>_xlfn.XLOOKUP($F6,LAYOUT_CD!$A$2:$A$10,LAYOUT_CD!$B$2:$B$10)</f>
        <v>100</v>
      </c>
      <c r="I6" s="37">
        <f>STOCK_ACTUAL!F3</f>
        <v>0.4778214378844623</v>
      </c>
      <c r="J6" s="38">
        <f>STOCK_ACTUAL!G3</f>
        <v>32.00231535755713</v>
      </c>
      <c r="K6" s="34">
        <f t="shared" ref="K6:K69" si="0">$D6*$G6</f>
        <v>1897.4399999999998</v>
      </c>
      <c r="L6" s="35" t="str">
        <f t="shared" ref="L6:L69" si="1">IF($G6&gt;$P$1,"SÍ","NO")</f>
        <v>SÍ</v>
      </c>
      <c r="M6" s="39" t="str">
        <f t="shared" ref="M6:M69" si="2">IF(AND($E6="A",$L6="SÍ"),"SÍ","NO")</f>
        <v>NO</v>
      </c>
      <c r="P6" s="32" t="s">
        <v>319</v>
      </c>
      <c r="Q6" s="34">
        <f>COUNTIF($E$5:$E$104,"B")</f>
        <v>35</v>
      </c>
      <c r="R6" s="57">
        <f>Q6/$Q$8</f>
        <v>0.35</v>
      </c>
      <c r="S6" s="34">
        <f>SUMIF($E$5:$E$104,"B",$D$5:$D$104)</f>
        <v>9735</v>
      </c>
      <c r="T6" s="58">
        <f>S6/$S$8</f>
        <v>0.32678751258811684</v>
      </c>
    </row>
    <row r="7" spans="1:20" x14ac:dyDescent="0.35">
      <c r="A7" s="32" t="str">
        <f>STOCK_ACTUAL!B4</f>
        <v>SKU00003</v>
      </c>
      <c r="B7" s="33" t="str">
        <f>STOCK_ACTUAL!C4</f>
        <v>Marca C</v>
      </c>
      <c r="C7" s="33" t="str">
        <f>STOCK_ACTUAL!D4</f>
        <v>Pastillas</v>
      </c>
      <c r="D7" s="34">
        <f>_xlfn.XLOOKUP($A7,ROTACIÓN!$A$2:$A$101,ROTACIÓN!$B$2:$B$101)</f>
        <v>231</v>
      </c>
      <c r="E7" s="35" t="str">
        <f>_xlfn.XLOOKUP($A7,ROTACIÓN!$A$2:$A$101,ROTACIÓN!$C$2:$C$101)</f>
        <v>B</v>
      </c>
      <c r="F7" s="33" t="str">
        <f>STOCK_ACTUAL!E4</f>
        <v>1. LLANTAS</v>
      </c>
      <c r="G7" s="36">
        <f>_xlfn.XLOOKUP($F7,LAYOUT_CD!$A$2:$A$10,LAYOUT_CD!$C$2:$C$10)</f>
        <v>8.0399999999999991</v>
      </c>
      <c r="H7" s="34">
        <f>_xlfn.XLOOKUP($F7,LAYOUT_CD!$A$2:$A$10,LAYOUT_CD!$B$2:$B$10)</f>
        <v>100</v>
      </c>
      <c r="I7" s="37">
        <f>STOCK_ACTUAL!F4</f>
        <v>0.37939727381513227</v>
      </c>
      <c r="J7" s="38">
        <f>STOCK_ACTUAL!G4</f>
        <v>16.06062106327817</v>
      </c>
      <c r="K7" s="34">
        <f t="shared" si="0"/>
        <v>1857.2399999999998</v>
      </c>
      <c r="L7" s="35" t="str">
        <f t="shared" si="1"/>
        <v>SÍ</v>
      </c>
      <c r="M7" s="39" t="str">
        <f t="shared" si="2"/>
        <v>NO</v>
      </c>
      <c r="P7" s="32" t="s">
        <v>320</v>
      </c>
      <c r="Q7" s="34">
        <f>COUNTIF($E$5:$E$104,"C")</f>
        <v>26</v>
      </c>
      <c r="R7" s="57">
        <f>Q7/$Q$8</f>
        <v>0.26</v>
      </c>
      <c r="S7" s="34">
        <f>SUMIF($E$5:$E$104,"C",$D$5:$D$104)</f>
        <v>3656</v>
      </c>
      <c r="T7" s="58">
        <f>S7/$S$8</f>
        <v>0.12272574689493118</v>
      </c>
    </row>
    <row r="8" spans="1:20" x14ac:dyDescent="0.35">
      <c r="A8" s="32" t="str">
        <f>STOCK_ACTUAL!B5</f>
        <v>SKU00004</v>
      </c>
      <c r="B8" s="33" t="str">
        <f>STOCK_ACTUAL!C5</f>
        <v>Marca D</v>
      </c>
      <c r="C8" s="33" t="str">
        <f>STOCK_ACTUAL!D5</f>
        <v>Correas</v>
      </c>
      <c r="D8" s="34">
        <f>_xlfn.XLOOKUP($A8,ROTACIÓN!$A$2:$A$101,ROTACIÓN!$B$2:$B$101)</f>
        <v>208</v>
      </c>
      <c r="E8" s="35" t="str">
        <f>_xlfn.XLOOKUP($A8,ROTACIÓN!$A$2:$A$101,ROTACIÓN!$C$2:$C$101)</f>
        <v>B</v>
      </c>
      <c r="F8" s="33" t="str">
        <f>STOCK_ACTUAL!E5</f>
        <v>7. MEZANNINE</v>
      </c>
      <c r="G8" s="36">
        <f>_xlfn.XLOOKUP($F8,LAYOUT_CD!$A$2:$A$10,LAYOUT_CD!$C$2:$C$10)</f>
        <v>6.42</v>
      </c>
      <c r="H8" s="34">
        <f>_xlfn.XLOOKUP($F8,LAYOUT_CD!$A$2:$A$10,LAYOUT_CD!$B$2:$B$10)</f>
        <v>80</v>
      </c>
      <c r="I8" s="37">
        <f>STOCK_ACTUAL!F5</f>
        <v>0.31939631788866651</v>
      </c>
      <c r="J8" s="38">
        <f>STOCK_ACTUAL!G5</f>
        <v>25.674249212652789</v>
      </c>
      <c r="K8" s="34">
        <f t="shared" si="0"/>
        <v>1335.36</v>
      </c>
      <c r="L8" s="35" t="str">
        <f t="shared" si="1"/>
        <v>SÍ</v>
      </c>
      <c r="M8" s="39" t="str">
        <f t="shared" si="2"/>
        <v>NO</v>
      </c>
      <c r="P8" s="59" t="s">
        <v>321</v>
      </c>
      <c r="Q8" s="60">
        <f>SUM(Q5:Q7)</f>
        <v>100</v>
      </c>
      <c r="R8" s="61">
        <f>SUM(R5:R7)</f>
        <v>1</v>
      </c>
      <c r="S8" s="60">
        <f>SUM(S5:S7)</f>
        <v>29790</v>
      </c>
      <c r="T8" s="62">
        <f>SUM(T5:T7)</f>
        <v>1</v>
      </c>
    </row>
    <row r="9" spans="1:20" x14ac:dyDescent="0.35">
      <c r="A9" s="32" t="str">
        <f>STOCK_ACTUAL!B6</f>
        <v>SKU00005</v>
      </c>
      <c r="B9" s="33" t="str">
        <f>STOCK_ACTUAL!C6</f>
        <v>Marca E</v>
      </c>
      <c r="C9" s="33" t="str">
        <f>STOCK_ACTUAL!D6</f>
        <v>Soportes</v>
      </c>
      <c r="D9" s="34">
        <f>_xlfn.XLOOKUP($A9,ROTACIÓN!$A$2:$A$101,ROTACIÓN!$B$2:$B$101)</f>
        <v>465</v>
      </c>
      <c r="E9" s="35" t="str">
        <f>_xlfn.XLOOKUP($A9,ROTACIÓN!$A$2:$A$101,ROTACIÓN!$C$2:$C$101)</f>
        <v>A</v>
      </c>
      <c r="F9" s="33" t="str">
        <f>STOCK_ACTUAL!E6</f>
        <v>2. PISO</v>
      </c>
      <c r="G9" s="36">
        <f>_xlfn.XLOOKUP($F9,LAYOUT_CD!$A$2:$A$10,LAYOUT_CD!$C$2:$C$10)</f>
        <v>1.6</v>
      </c>
      <c r="H9" s="34">
        <f>_xlfn.XLOOKUP($F9,LAYOUT_CD!$A$2:$A$10,LAYOUT_CD!$B$2:$B$10)</f>
        <v>10</v>
      </c>
      <c r="I9" s="37">
        <f>STOCK_ACTUAL!F6</f>
        <v>0.12020838819909641</v>
      </c>
      <c r="J9" s="38">
        <f>STOCK_ACTUAL!G6</f>
        <v>45.424540459341607</v>
      </c>
      <c r="K9" s="34">
        <f t="shared" si="0"/>
        <v>744</v>
      </c>
      <c r="L9" s="35" t="str">
        <f t="shared" si="1"/>
        <v>NO</v>
      </c>
      <c r="M9" s="39" t="str">
        <f t="shared" si="2"/>
        <v>NO</v>
      </c>
    </row>
    <row r="10" spans="1:20" x14ac:dyDescent="0.35">
      <c r="A10" s="32" t="str">
        <f>STOCK_ACTUAL!B7</f>
        <v>SKU00006</v>
      </c>
      <c r="B10" s="33" t="str">
        <f>STOCK_ACTUAL!C7</f>
        <v>Marca A</v>
      </c>
      <c r="C10" s="33" t="str">
        <f>STOCK_ACTUAL!D7</f>
        <v>Filtros</v>
      </c>
      <c r="D10" s="34">
        <f>_xlfn.XLOOKUP($A10,ROTACIÓN!$A$2:$A$101,ROTACIÓN!$B$2:$B$101)</f>
        <v>161</v>
      </c>
      <c r="E10" s="35" t="str">
        <f>_xlfn.XLOOKUP($A10,ROTACIÓN!$A$2:$A$101,ROTACIÓN!$C$2:$C$101)</f>
        <v>C</v>
      </c>
      <c r="F10" s="33" t="str">
        <f>STOCK_ACTUAL!E7</f>
        <v>2. PISO</v>
      </c>
      <c r="G10" s="36">
        <f>_xlfn.XLOOKUP($F10,LAYOUT_CD!$A$2:$A$10,LAYOUT_CD!$C$2:$C$10)</f>
        <v>1.6</v>
      </c>
      <c r="H10" s="34">
        <f>_xlfn.XLOOKUP($F10,LAYOUT_CD!$A$2:$A$10,LAYOUT_CD!$B$2:$B$10)</f>
        <v>10</v>
      </c>
      <c r="I10" s="37">
        <f>STOCK_ACTUAL!F7</f>
        <v>0.1201975341512912</v>
      </c>
      <c r="J10" s="38">
        <f>STOCK_ACTUAL!G7</f>
        <v>12.839965342869309</v>
      </c>
      <c r="K10" s="34">
        <f t="shared" si="0"/>
        <v>257.60000000000002</v>
      </c>
      <c r="L10" s="35" t="str">
        <f t="shared" si="1"/>
        <v>NO</v>
      </c>
      <c r="M10" s="39" t="str">
        <f t="shared" si="2"/>
        <v>NO</v>
      </c>
    </row>
    <row r="11" spans="1:20" x14ac:dyDescent="0.35">
      <c r="A11" s="32" t="str">
        <f>STOCK_ACTUAL!B8</f>
        <v>SKU00007</v>
      </c>
      <c r="B11" s="33" t="str">
        <f>STOCK_ACTUAL!C8</f>
        <v>Marca B</v>
      </c>
      <c r="C11" s="33" t="str">
        <f>STOCK_ACTUAL!D8</f>
        <v>Lubricantes</v>
      </c>
      <c r="D11" s="34">
        <f>_xlfn.XLOOKUP($A11,ROTACIÓN!$A$2:$A$101,ROTACIÓN!$B$2:$B$101)</f>
        <v>102</v>
      </c>
      <c r="E11" s="35" t="str">
        <f>_xlfn.XLOOKUP($A11,ROTACIÓN!$A$2:$A$101,ROTACIÓN!$C$2:$C$101)</f>
        <v>C</v>
      </c>
      <c r="F11" s="33" t="str">
        <f>STOCK_ACTUAL!E8</f>
        <v>1. LLANTAS</v>
      </c>
      <c r="G11" s="36">
        <f>_xlfn.XLOOKUP($F11,LAYOUT_CD!$A$2:$A$10,LAYOUT_CD!$C$2:$C$10)</f>
        <v>8.0399999999999991</v>
      </c>
      <c r="H11" s="34">
        <f>_xlfn.XLOOKUP($F11,LAYOUT_CD!$A$2:$A$10,LAYOUT_CD!$B$2:$B$10)</f>
        <v>100</v>
      </c>
      <c r="I11" s="37">
        <f>STOCK_ACTUAL!F8</f>
        <v>7.6137625475689766E-2</v>
      </c>
      <c r="J11" s="38">
        <f>STOCK_ACTUAL!G8</f>
        <v>20.813954690263671</v>
      </c>
      <c r="K11" s="34">
        <f t="shared" si="0"/>
        <v>820.07999999999993</v>
      </c>
      <c r="L11" s="35" t="str">
        <f t="shared" si="1"/>
        <v>SÍ</v>
      </c>
      <c r="M11" s="39" t="str">
        <f t="shared" si="2"/>
        <v>NO</v>
      </c>
      <c r="P11" s="55" t="s">
        <v>322</v>
      </c>
      <c r="Q11" s="30" t="s">
        <v>323</v>
      </c>
      <c r="R11" s="30" t="s">
        <v>324</v>
      </c>
      <c r="S11" s="30" t="s">
        <v>325</v>
      </c>
      <c r="T11" s="56" t="s">
        <v>326</v>
      </c>
    </row>
    <row r="12" spans="1:20" x14ac:dyDescent="0.35">
      <c r="A12" s="32" t="str">
        <f>STOCK_ACTUAL!B9</f>
        <v>SKU00008</v>
      </c>
      <c r="B12" s="33" t="str">
        <f>STOCK_ACTUAL!C9</f>
        <v>Marca C</v>
      </c>
      <c r="C12" s="33" t="str">
        <f>STOCK_ACTUAL!D9</f>
        <v>Pastillas</v>
      </c>
      <c r="D12" s="34">
        <f>_xlfn.XLOOKUP($A12,ROTACIÓN!$A$2:$A$101,ROTACIÓN!$B$2:$B$101)</f>
        <v>236</v>
      </c>
      <c r="E12" s="35" t="str">
        <f>_xlfn.XLOOKUP($A12,ROTACIÓN!$A$2:$A$101,ROTACIÓN!$C$2:$C$101)</f>
        <v>B</v>
      </c>
      <c r="F12" s="33" t="str">
        <f>STOCK_ACTUAL!E9</f>
        <v>8. CLUSTER</v>
      </c>
      <c r="G12" s="36">
        <f>_xlfn.XLOOKUP($F12,LAYOUT_CD!$A$2:$A$10,LAYOUT_CD!$C$2:$C$10)</f>
        <v>4.01</v>
      </c>
      <c r="H12" s="34">
        <f>_xlfn.XLOOKUP($F12,LAYOUT_CD!$A$2:$A$10,LAYOUT_CD!$B$2:$B$10)</f>
        <v>50</v>
      </c>
      <c r="I12" s="37">
        <f>STOCK_ACTUAL!F9</f>
        <v>0.43977926559872083</v>
      </c>
      <c r="J12" s="38">
        <f>STOCK_ACTUAL!G9</f>
        <v>37.899781357880912</v>
      </c>
      <c r="K12" s="34">
        <f t="shared" si="0"/>
        <v>946.3599999999999</v>
      </c>
      <c r="L12" s="35" t="str">
        <f t="shared" si="1"/>
        <v>SÍ</v>
      </c>
      <c r="M12" s="39" t="str">
        <f t="shared" si="2"/>
        <v>NO</v>
      </c>
      <c r="P12" s="32" t="s">
        <v>62</v>
      </c>
      <c r="Q12" s="38">
        <f>AVERAGEIF($C$5:$C$104,$P12,$D$5:$D$104)</f>
        <v>352.15</v>
      </c>
      <c r="R12" s="34">
        <f>SUMIF($C$5:$C$104,$P12,$D$5:$D$104)</f>
        <v>7043</v>
      </c>
      <c r="S12" s="34">
        <f>COUNTIF($C$5:$C$104,$P12)</f>
        <v>20</v>
      </c>
      <c r="T12" s="63">
        <f>COUNTIFS($C$5:$C$104,$P12,$E$5:$E$104,"A")</f>
        <v>12</v>
      </c>
    </row>
    <row r="13" spans="1:20" x14ac:dyDescent="0.35">
      <c r="A13" s="32" t="str">
        <f>STOCK_ACTUAL!B10</f>
        <v>SKU00009</v>
      </c>
      <c r="B13" s="33" t="str">
        <f>STOCK_ACTUAL!C10</f>
        <v>Marca D</v>
      </c>
      <c r="C13" s="33" t="str">
        <f>STOCK_ACTUAL!D10</f>
        <v>Correas</v>
      </c>
      <c r="D13" s="34">
        <f>_xlfn.XLOOKUP($A13,ROTACIÓN!$A$2:$A$101,ROTACIÓN!$B$2:$B$101)</f>
        <v>432</v>
      </c>
      <c r="E13" s="35" t="str">
        <f>_xlfn.XLOOKUP($A13,ROTACIÓN!$A$2:$A$101,ROTACIÓN!$C$2:$C$101)</f>
        <v>A</v>
      </c>
      <c r="F13" s="33" t="str">
        <f>STOCK_ACTUAL!E10</f>
        <v>4. RACK BALDA</v>
      </c>
      <c r="G13" s="36">
        <f>_xlfn.XLOOKUP($F13,LAYOUT_CD!$A$2:$A$10,LAYOUT_CD!$C$2:$C$10)</f>
        <v>4.82</v>
      </c>
      <c r="H13" s="34">
        <f>_xlfn.XLOOKUP($F13,LAYOUT_CD!$A$2:$A$10,LAYOUT_CD!$B$2:$B$10)</f>
        <v>60</v>
      </c>
      <c r="I13" s="37">
        <f>STOCK_ACTUAL!F10</f>
        <v>0.32050175528444402</v>
      </c>
      <c r="J13" s="38">
        <f>STOCK_ACTUAL!G10</f>
        <v>11.825509191835311</v>
      </c>
      <c r="K13" s="34">
        <f t="shared" si="0"/>
        <v>2082.2400000000002</v>
      </c>
      <c r="L13" s="35" t="str">
        <f t="shared" si="1"/>
        <v>SÍ</v>
      </c>
      <c r="M13" s="39" t="str">
        <f t="shared" si="2"/>
        <v>SÍ</v>
      </c>
      <c r="P13" s="32" t="s">
        <v>59</v>
      </c>
      <c r="Q13" s="38">
        <f t="shared" ref="Q13:Q16" si="3">AVERAGEIF($C$5:$C$104,$P13,$D$5:$D$104)</f>
        <v>338.25</v>
      </c>
      <c r="R13" s="34">
        <f t="shared" ref="R13:R16" si="4">SUMIF($C$5:$C$104,$P13,$D$5:$D$104)</f>
        <v>6765</v>
      </c>
      <c r="S13" s="34">
        <f t="shared" ref="S13:S16" si="5">COUNTIF($C$5:$C$104,$P13)</f>
        <v>20</v>
      </c>
      <c r="T13" s="63">
        <f t="shared" ref="T13:T16" si="6">COUNTIFS($C$5:$C$104,$P13,$E$5:$E$104,"A")</f>
        <v>10</v>
      </c>
    </row>
    <row r="14" spans="1:20" x14ac:dyDescent="0.35">
      <c r="A14" s="32" t="str">
        <f>STOCK_ACTUAL!B11</f>
        <v>SKU00010</v>
      </c>
      <c r="B14" s="33" t="str">
        <f>STOCK_ACTUAL!C11</f>
        <v>Marca E</v>
      </c>
      <c r="C14" s="33" t="str">
        <f>STOCK_ACTUAL!D11</f>
        <v>Soportes</v>
      </c>
      <c r="D14" s="34">
        <f>_xlfn.XLOOKUP($A14,ROTACIÓN!$A$2:$A$101,ROTACIÓN!$B$2:$B$101)</f>
        <v>316</v>
      </c>
      <c r="E14" s="35" t="str">
        <f>_xlfn.XLOOKUP($A14,ROTACIÓN!$A$2:$A$101,ROTACIÓN!$C$2:$C$101)</f>
        <v>B</v>
      </c>
      <c r="F14" s="33" t="str">
        <f>STOCK_ACTUAL!E11</f>
        <v>5. RACK SIMPLE</v>
      </c>
      <c r="G14" s="36">
        <f>_xlfn.XLOOKUP($F14,LAYOUT_CD!$A$2:$A$10,LAYOUT_CD!$C$2:$C$10)</f>
        <v>5.63</v>
      </c>
      <c r="H14" s="34">
        <f>_xlfn.XLOOKUP($F14,LAYOUT_CD!$A$2:$A$10,LAYOUT_CD!$B$2:$B$10)</f>
        <v>65</v>
      </c>
      <c r="I14" s="37">
        <f>STOCK_ACTUAL!F11</f>
        <v>0.36863266000822048</v>
      </c>
      <c r="J14" s="38">
        <f>STOCK_ACTUAL!G11</f>
        <v>4.3105055365252536</v>
      </c>
      <c r="K14" s="34">
        <f t="shared" si="0"/>
        <v>1779.08</v>
      </c>
      <c r="L14" s="35" t="str">
        <f t="shared" si="1"/>
        <v>SÍ</v>
      </c>
      <c r="M14" s="39" t="str">
        <f t="shared" si="2"/>
        <v>NO</v>
      </c>
      <c r="P14" s="32" t="s">
        <v>50</v>
      </c>
      <c r="Q14" s="38">
        <f t="shared" si="3"/>
        <v>281.05</v>
      </c>
      <c r="R14" s="34">
        <f t="shared" si="4"/>
        <v>5621</v>
      </c>
      <c r="S14" s="34">
        <f t="shared" si="5"/>
        <v>20</v>
      </c>
      <c r="T14" s="63">
        <f t="shared" si="6"/>
        <v>6</v>
      </c>
    </row>
    <row r="15" spans="1:20" x14ac:dyDescent="0.35">
      <c r="A15" s="32" t="str">
        <f>STOCK_ACTUAL!B12</f>
        <v>SKU00011</v>
      </c>
      <c r="B15" s="33" t="str">
        <f>STOCK_ACTUAL!C12</f>
        <v>Marca A</v>
      </c>
      <c r="C15" s="33" t="str">
        <f>STOCK_ACTUAL!D12</f>
        <v>Filtros</v>
      </c>
      <c r="D15" s="34">
        <f>_xlfn.XLOOKUP($A15,ROTACIÓN!$A$2:$A$101,ROTACIÓN!$B$2:$B$101)</f>
        <v>219</v>
      </c>
      <c r="E15" s="35" t="str">
        <f>_xlfn.XLOOKUP($A15,ROTACIÓN!$A$2:$A$101,ROTACIÓN!$C$2:$C$101)</f>
        <v>B</v>
      </c>
      <c r="F15" s="33" t="str">
        <f>STOCK_ACTUAL!E12</f>
        <v>7. MEZANNINE</v>
      </c>
      <c r="G15" s="36">
        <f>_xlfn.XLOOKUP($F15,LAYOUT_CD!$A$2:$A$10,LAYOUT_CD!$C$2:$C$10)</f>
        <v>6.42</v>
      </c>
      <c r="H15" s="34">
        <f>_xlfn.XLOOKUP($F15,LAYOUT_CD!$A$2:$A$10,LAYOUT_CD!$B$2:$B$10)</f>
        <v>80</v>
      </c>
      <c r="I15" s="37">
        <f>STOCK_ACTUAL!F12</f>
        <v>5.9263022433111101E-2</v>
      </c>
      <c r="J15" s="38">
        <f>STOCK_ACTUAL!G12</f>
        <v>14.842696919231519</v>
      </c>
      <c r="K15" s="34">
        <f t="shared" si="0"/>
        <v>1405.98</v>
      </c>
      <c r="L15" s="35" t="str">
        <f t="shared" si="1"/>
        <v>SÍ</v>
      </c>
      <c r="M15" s="39" t="str">
        <f t="shared" si="2"/>
        <v>NO</v>
      </c>
      <c r="P15" s="32" t="s">
        <v>56</v>
      </c>
      <c r="Q15" s="38">
        <f t="shared" si="3"/>
        <v>267.75</v>
      </c>
      <c r="R15" s="34">
        <f t="shared" si="4"/>
        <v>5355</v>
      </c>
      <c r="S15" s="34">
        <f t="shared" si="5"/>
        <v>20</v>
      </c>
      <c r="T15" s="63">
        <f t="shared" si="6"/>
        <v>7</v>
      </c>
    </row>
    <row r="16" spans="1:20" x14ac:dyDescent="0.35">
      <c r="A16" s="32" t="str">
        <f>STOCK_ACTUAL!B13</f>
        <v>SKU00012</v>
      </c>
      <c r="B16" s="33" t="str">
        <f>STOCK_ACTUAL!C13</f>
        <v>Marca B</v>
      </c>
      <c r="C16" s="33" t="str">
        <f>STOCK_ACTUAL!D13</f>
        <v>Lubricantes</v>
      </c>
      <c r="D16" s="34">
        <f>_xlfn.XLOOKUP($A16,ROTACIÓN!$A$2:$A$101,ROTACIÓN!$B$2:$B$101)</f>
        <v>150</v>
      </c>
      <c r="E16" s="35" t="str">
        <f>_xlfn.XLOOKUP($A16,ROTACIÓN!$A$2:$A$101,ROTACIÓN!$C$2:$C$101)</f>
        <v>C</v>
      </c>
      <c r="F16" s="33" t="str">
        <f>STOCK_ACTUAL!E13</f>
        <v>7. MEZANNINE</v>
      </c>
      <c r="G16" s="36">
        <f>_xlfn.XLOOKUP($F16,LAYOUT_CD!$A$2:$A$10,LAYOUT_CD!$C$2:$C$10)</f>
        <v>6.42</v>
      </c>
      <c r="H16" s="34">
        <f>_xlfn.XLOOKUP($F16,LAYOUT_CD!$A$2:$A$10,LAYOUT_CD!$B$2:$B$10)</f>
        <v>80</v>
      </c>
      <c r="I16" s="37">
        <f>STOCK_ACTUAL!F13</f>
        <v>0.48645943347289738</v>
      </c>
      <c r="J16" s="38">
        <f>STOCK_ACTUAL!G13</f>
        <v>8.4804537190732177</v>
      </c>
      <c r="K16" s="34">
        <f t="shared" si="0"/>
        <v>963</v>
      </c>
      <c r="L16" s="35" t="str">
        <f t="shared" si="1"/>
        <v>SÍ</v>
      </c>
      <c r="M16" s="39" t="str">
        <f t="shared" si="2"/>
        <v>NO</v>
      </c>
      <c r="P16" s="64" t="s">
        <v>53</v>
      </c>
      <c r="Q16" s="65">
        <f t="shared" si="3"/>
        <v>250.3</v>
      </c>
      <c r="R16" s="66">
        <f t="shared" si="4"/>
        <v>5006</v>
      </c>
      <c r="S16" s="66">
        <f t="shared" si="5"/>
        <v>20</v>
      </c>
      <c r="T16" s="67">
        <f t="shared" si="6"/>
        <v>4</v>
      </c>
    </row>
    <row r="17" spans="1:27" x14ac:dyDescent="0.35">
      <c r="A17" s="32" t="str">
        <f>STOCK_ACTUAL!B14</f>
        <v>SKU00013</v>
      </c>
      <c r="B17" s="33" t="str">
        <f>STOCK_ACTUAL!C14</f>
        <v>Marca C</v>
      </c>
      <c r="C17" s="33" t="str">
        <f>STOCK_ACTUAL!D14</f>
        <v>Pastillas</v>
      </c>
      <c r="D17" s="34">
        <f>_xlfn.XLOOKUP($A17,ROTACIÓN!$A$2:$A$101,ROTACIÓN!$B$2:$B$101)</f>
        <v>398</v>
      </c>
      <c r="E17" s="35" t="str">
        <f>_xlfn.XLOOKUP($A17,ROTACIÓN!$A$2:$A$101,ROTACIÓN!$C$2:$C$101)</f>
        <v>A</v>
      </c>
      <c r="F17" s="33" t="str">
        <f>STOCK_ACTUAL!E14</f>
        <v>5. RACK SIMPLE</v>
      </c>
      <c r="G17" s="36">
        <f>_xlfn.XLOOKUP($F17,LAYOUT_CD!$A$2:$A$10,LAYOUT_CD!$C$2:$C$10)</f>
        <v>5.63</v>
      </c>
      <c r="H17" s="34">
        <f>_xlfn.XLOOKUP($F17,LAYOUT_CD!$A$2:$A$10,LAYOUT_CD!$B$2:$B$10)</f>
        <v>65</v>
      </c>
      <c r="I17" s="37">
        <f>STOCK_ACTUAL!F14</f>
        <v>0.42459918836018978</v>
      </c>
      <c r="J17" s="38">
        <f>STOCK_ACTUAL!G14</f>
        <v>46.520033790957363</v>
      </c>
      <c r="K17" s="34">
        <f t="shared" si="0"/>
        <v>2240.7399999999998</v>
      </c>
      <c r="L17" s="35" t="str">
        <f t="shared" si="1"/>
        <v>SÍ</v>
      </c>
      <c r="M17" s="39" t="str">
        <f t="shared" si="2"/>
        <v>SÍ</v>
      </c>
    </row>
    <row r="18" spans="1:27" x14ac:dyDescent="0.35">
      <c r="A18" s="32" t="str">
        <f>STOCK_ACTUAL!B15</f>
        <v>SKU00014</v>
      </c>
      <c r="B18" s="33" t="str">
        <f>STOCK_ACTUAL!C15</f>
        <v>Marca D</v>
      </c>
      <c r="C18" s="33" t="str">
        <f>STOCK_ACTUAL!D15</f>
        <v>Correas</v>
      </c>
      <c r="D18" s="34">
        <f>_xlfn.XLOOKUP($A18,ROTACIÓN!$A$2:$A$101,ROTACIÓN!$B$2:$B$101)</f>
        <v>352</v>
      </c>
      <c r="E18" s="35" t="str">
        <f>_xlfn.XLOOKUP($A18,ROTACIÓN!$A$2:$A$101,ROTACIÓN!$C$2:$C$101)</f>
        <v>A</v>
      </c>
      <c r="F18" s="33" t="str">
        <f>STOCK_ACTUAL!E15</f>
        <v>2. PISO</v>
      </c>
      <c r="G18" s="36">
        <f>_xlfn.XLOOKUP($F18,LAYOUT_CD!$A$2:$A$10,LAYOUT_CD!$C$2:$C$10)</f>
        <v>1.6</v>
      </c>
      <c r="H18" s="34">
        <f>_xlfn.XLOOKUP($F18,LAYOUT_CD!$A$2:$A$10,LAYOUT_CD!$B$2:$B$10)</f>
        <v>10</v>
      </c>
      <c r="I18" s="37">
        <f>STOCK_ACTUAL!F15</f>
        <v>0.14555259980522431</v>
      </c>
      <c r="J18" s="38">
        <f>STOCK_ACTUAL!G15</f>
        <v>40.501958788438643</v>
      </c>
      <c r="K18" s="34">
        <f t="shared" si="0"/>
        <v>563.20000000000005</v>
      </c>
      <c r="L18" s="35" t="str">
        <f t="shared" si="1"/>
        <v>NO</v>
      </c>
      <c r="M18" s="39" t="str">
        <f t="shared" si="2"/>
        <v>NO</v>
      </c>
    </row>
    <row r="19" spans="1:27" ht="32" customHeight="1" x14ac:dyDescent="0.35">
      <c r="A19" s="32" t="str">
        <f>STOCK_ACTUAL!B16</f>
        <v>SKU00015</v>
      </c>
      <c r="B19" s="33" t="str">
        <f>STOCK_ACTUAL!C16</f>
        <v>Marca E</v>
      </c>
      <c r="C19" s="33" t="str">
        <f>STOCK_ACTUAL!D16</f>
        <v>Soportes</v>
      </c>
      <c r="D19" s="34">
        <f>_xlfn.XLOOKUP($A19,ROTACIÓN!$A$2:$A$101,ROTACIÓN!$B$2:$B$101)</f>
        <v>401</v>
      </c>
      <c r="E19" s="35" t="str">
        <f>_xlfn.XLOOKUP($A19,ROTACIÓN!$A$2:$A$101,ROTACIÓN!$C$2:$C$101)</f>
        <v>A</v>
      </c>
      <c r="F19" s="33" t="str">
        <f>STOCK_ACTUAL!E16</f>
        <v>2. PISO</v>
      </c>
      <c r="G19" s="36">
        <f>_xlfn.XLOOKUP($F19,LAYOUT_CD!$A$2:$A$10,LAYOUT_CD!$C$2:$C$10)</f>
        <v>1.6</v>
      </c>
      <c r="H19" s="34">
        <f>_xlfn.XLOOKUP($F19,LAYOUT_CD!$A$2:$A$10,LAYOUT_CD!$B$2:$B$10)</f>
        <v>10</v>
      </c>
      <c r="I19" s="37">
        <f>STOCK_ACTUAL!F16</f>
        <v>0.13182123524319531</v>
      </c>
      <c r="J19" s="38">
        <f>STOCK_ACTUAL!G16</f>
        <v>31.853485947265959</v>
      </c>
      <c r="K19" s="34">
        <f t="shared" si="0"/>
        <v>641.6</v>
      </c>
      <c r="L19" s="35" t="str">
        <f t="shared" si="1"/>
        <v>NO</v>
      </c>
      <c r="M19" s="39" t="str">
        <f t="shared" si="2"/>
        <v>NO</v>
      </c>
      <c r="P19" s="79" t="s">
        <v>327</v>
      </c>
      <c r="Q19" s="49" t="s">
        <v>325</v>
      </c>
      <c r="R19" s="49" t="s">
        <v>323</v>
      </c>
      <c r="S19" s="49" t="s">
        <v>306</v>
      </c>
      <c r="T19" s="49" t="s">
        <v>328</v>
      </c>
      <c r="U19" s="49" t="s">
        <v>329</v>
      </c>
      <c r="V19" s="49" t="s">
        <v>330</v>
      </c>
      <c r="W19" s="49" t="s">
        <v>331</v>
      </c>
      <c r="X19" s="80" t="s">
        <v>332</v>
      </c>
      <c r="Y19" s="81" t="s">
        <v>333</v>
      </c>
      <c r="Z19" s="82" t="s">
        <v>334</v>
      </c>
      <c r="AA19" s="83" t="s">
        <v>335</v>
      </c>
    </row>
    <row r="20" spans="1:27" x14ac:dyDescent="0.35">
      <c r="A20" s="32" t="str">
        <f>STOCK_ACTUAL!B17</f>
        <v>SKU00016</v>
      </c>
      <c r="B20" s="33" t="str">
        <f>STOCK_ACTUAL!C17</f>
        <v>Marca A</v>
      </c>
      <c r="C20" s="33" t="str">
        <f>STOCK_ACTUAL!D17</f>
        <v>Filtros</v>
      </c>
      <c r="D20" s="34">
        <f>_xlfn.XLOOKUP($A20,ROTACIÓN!$A$2:$A$101,ROTACIÓN!$B$2:$B$101)</f>
        <v>302</v>
      </c>
      <c r="E20" s="35" t="str">
        <f>_xlfn.XLOOKUP($A20,ROTACIÓN!$A$2:$A$101,ROTACIÓN!$C$2:$C$101)</f>
        <v>B</v>
      </c>
      <c r="F20" s="33" t="str">
        <f>STOCK_ACTUAL!E17</f>
        <v>2. PISO</v>
      </c>
      <c r="G20" s="36">
        <f>_xlfn.XLOOKUP($F20,LAYOUT_CD!$A$2:$A$10,LAYOUT_CD!$C$2:$C$10)</f>
        <v>1.6</v>
      </c>
      <c r="H20" s="34">
        <f>_xlfn.XLOOKUP($F20,LAYOUT_CD!$A$2:$A$10,LAYOUT_CD!$B$2:$B$10)</f>
        <v>10</v>
      </c>
      <c r="I20" s="37">
        <f>STOCK_ACTUAL!F17</f>
        <v>0.13253202943404521</v>
      </c>
      <c r="J20" s="38">
        <f>STOCK_ACTUAL!G17</f>
        <v>43.637299214292028</v>
      </c>
      <c r="K20" s="34">
        <f t="shared" si="0"/>
        <v>483.20000000000005</v>
      </c>
      <c r="L20" s="35" t="str">
        <f t="shared" si="1"/>
        <v>NO</v>
      </c>
      <c r="M20" s="39" t="str">
        <f t="shared" si="2"/>
        <v>NO</v>
      </c>
      <c r="P20" s="32" t="str">
        <f>LAYOUT_CD!A2</f>
        <v>2. PISO</v>
      </c>
      <c r="Q20" s="33">
        <f>COUNTIF($F$5:$F$104,$P20)</f>
        <v>27</v>
      </c>
      <c r="R20" s="38">
        <f>IFERROR(AVERAGEIF($F$5:$F$104,$P20,$D$5:$D$104),0)</f>
        <v>305.40740740740739</v>
      </c>
      <c r="S20" s="36">
        <f>_xlfn.XLOOKUP($P20,LAYOUT_CD!$A$2:$A$10,LAYOUT_CD!$C$2:$C$10)</f>
        <v>1.6</v>
      </c>
      <c r="T20" s="34">
        <f>_xlfn.XLOOKUP($P20,LAYOUT_CD!$A$2:$A$10,LAYOUT_CD!$B$2:$B$10)</f>
        <v>10</v>
      </c>
      <c r="U20" s="68">
        <f>SUMIF($F$5:$F$104,$P20,$I$5:$I$104)</f>
        <v>4.2841488084382489</v>
      </c>
      <c r="V20" s="68">
        <f>_xlfn.XLOOKUP($P20,LAYOUT_CD!$A$2:$A$10,LAYOUT_CD!$D$2:$D$10)</f>
        <v>500</v>
      </c>
      <c r="W20" s="69">
        <f>IFERROR($U20/$V20,0)</f>
        <v>8.5682976168764986E-3</v>
      </c>
      <c r="X20" s="34">
        <f>COUNTIFS($F$5:$F$104,$P20,$E$5:$E$104,"A")</f>
        <v>13</v>
      </c>
      <c r="Y20" s="34">
        <f>COUNTIFS($F$5:$F$104,$P20,$E$5:$E$104,"B")</f>
        <v>6</v>
      </c>
      <c r="Z20" s="34">
        <f>COUNTIFS($F$5:$F$104,$P20,$E$5:$E$104,"C")</f>
        <v>8</v>
      </c>
      <c r="AA20" s="63">
        <f>SUMIF($F$5:$F$104,$P20,$K$5:$K$104)</f>
        <v>13193.6</v>
      </c>
    </row>
    <row r="21" spans="1:27" x14ac:dyDescent="0.35">
      <c r="A21" s="32" t="str">
        <f>STOCK_ACTUAL!B18</f>
        <v>SKU00017</v>
      </c>
      <c r="B21" s="33" t="str">
        <f>STOCK_ACTUAL!C18</f>
        <v>Marca B</v>
      </c>
      <c r="C21" s="33" t="str">
        <f>STOCK_ACTUAL!D18</f>
        <v>Lubricantes</v>
      </c>
      <c r="D21" s="34">
        <f>_xlfn.XLOOKUP($A21,ROTACIÓN!$A$2:$A$101,ROTACIÓN!$B$2:$B$101)</f>
        <v>314</v>
      </c>
      <c r="E21" s="35" t="str">
        <f>_xlfn.XLOOKUP($A21,ROTACIÓN!$A$2:$A$101,ROTACIÓN!$C$2:$C$101)</f>
        <v>B</v>
      </c>
      <c r="F21" s="33" t="str">
        <f>STOCK_ACTUAL!E18</f>
        <v>2. PISO</v>
      </c>
      <c r="G21" s="36">
        <f>_xlfn.XLOOKUP($F21,LAYOUT_CD!$A$2:$A$10,LAYOUT_CD!$C$2:$C$10)</f>
        <v>1.6</v>
      </c>
      <c r="H21" s="34">
        <f>_xlfn.XLOOKUP($F21,LAYOUT_CD!$A$2:$A$10,LAYOUT_CD!$B$2:$B$10)</f>
        <v>10</v>
      </c>
      <c r="I21" s="37">
        <f>STOCK_ACTUAL!F18</f>
        <v>0.186909009331792</v>
      </c>
      <c r="J21" s="38">
        <f>STOCK_ACTUAL!G18</f>
        <v>40.281767806506167</v>
      </c>
      <c r="K21" s="34">
        <f t="shared" si="0"/>
        <v>502.40000000000003</v>
      </c>
      <c r="L21" s="35" t="str">
        <f t="shared" si="1"/>
        <v>NO</v>
      </c>
      <c r="M21" s="39" t="str">
        <f t="shared" si="2"/>
        <v>NO</v>
      </c>
      <c r="P21" s="32" t="str">
        <f>LAYOUT_CD!A3</f>
        <v>10. UBICACIÓN RECIBO</v>
      </c>
      <c r="Q21" s="33">
        <f t="shared" ref="Q21:Q28" si="7">COUNTIF($F$5:$F$104,$P21)</f>
        <v>8</v>
      </c>
      <c r="R21" s="38">
        <f t="shared" ref="R21:R28" si="8">IFERROR(AVERAGEIF($F$5:$F$104,$P21,$D$5:$D$104),0)</f>
        <v>330.875</v>
      </c>
      <c r="S21" s="36">
        <f>_xlfn.XLOOKUP($P21,LAYOUT_CD!$A$2:$A$10,LAYOUT_CD!$C$2:$C$10)</f>
        <v>2.0099999999999998</v>
      </c>
      <c r="T21" s="34">
        <f>_xlfn.XLOOKUP($P21,LAYOUT_CD!$A$2:$A$10,LAYOUT_CD!$B$2:$B$10)</f>
        <v>15</v>
      </c>
      <c r="U21" s="68">
        <f t="shared" ref="U21:U28" si="9">SUMIF($F$5:$F$104,$P21,$I$5:$I$104)</f>
        <v>1.124845948413719</v>
      </c>
      <c r="V21" s="68">
        <f>_xlfn.XLOOKUP($P21,LAYOUT_CD!$A$2:$A$10,LAYOUT_CD!$D$2:$D$10)</f>
        <v>200</v>
      </c>
      <c r="W21" s="69">
        <f t="shared" ref="W21:W28" si="10">IFERROR($U21/$V21,0)</f>
        <v>5.6242297420685946E-3</v>
      </c>
      <c r="X21" s="34">
        <f t="shared" ref="X21:X28" si="11">COUNTIFS($F$5:$F$104,$P21,$E$5:$E$104,"A")</f>
        <v>4</v>
      </c>
      <c r="Y21" s="34">
        <f t="shared" ref="Y21:Y28" si="12">COUNTIFS($F$5:$F$104,$P21,$E$5:$E$104,"B")</f>
        <v>2</v>
      </c>
      <c r="Z21" s="34">
        <f t="shared" ref="Z21:Z28" si="13">COUNTIFS($F$5:$F$104,$P21,$E$5:$E$104,"C")</f>
        <v>2</v>
      </c>
      <c r="AA21" s="63">
        <f t="shared" ref="AA21:AA28" si="14">SUMIF($F$5:$F$104,$P21,$K$5:$K$104)</f>
        <v>5320.4699999999993</v>
      </c>
    </row>
    <row r="22" spans="1:27" x14ac:dyDescent="0.35">
      <c r="A22" s="32" t="str">
        <f>STOCK_ACTUAL!B19</f>
        <v>SKU00018</v>
      </c>
      <c r="B22" s="33" t="str">
        <f>STOCK_ACTUAL!C19</f>
        <v>Marca C</v>
      </c>
      <c r="C22" s="33" t="str">
        <f>STOCK_ACTUAL!D19</f>
        <v>Pastillas</v>
      </c>
      <c r="D22" s="34">
        <f>_xlfn.XLOOKUP($A22,ROTACIÓN!$A$2:$A$101,ROTACIÓN!$B$2:$B$101)</f>
        <v>451</v>
      </c>
      <c r="E22" s="35" t="str">
        <f>_xlfn.XLOOKUP($A22,ROTACIÓN!$A$2:$A$101,ROTACIÓN!$C$2:$C$101)</f>
        <v>A</v>
      </c>
      <c r="F22" s="33" t="str">
        <f>STOCK_ACTUAL!E19</f>
        <v>2. PISO</v>
      </c>
      <c r="G22" s="36">
        <f>_xlfn.XLOOKUP($F22,LAYOUT_CD!$A$2:$A$10,LAYOUT_CD!$C$2:$C$10)</f>
        <v>1.6</v>
      </c>
      <c r="H22" s="34">
        <f>_xlfn.XLOOKUP($F22,LAYOUT_CD!$A$2:$A$10,LAYOUT_CD!$B$2:$B$10)</f>
        <v>10</v>
      </c>
      <c r="I22" s="37">
        <f>STOCK_ACTUAL!F19</f>
        <v>0.28614039423450699</v>
      </c>
      <c r="J22" s="38">
        <f>STOCK_ACTUAL!G19</f>
        <v>9.7352179148587741</v>
      </c>
      <c r="K22" s="34">
        <f t="shared" si="0"/>
        <v>721.6</v>
      </c>
      <c r="L22" s="35" t="str">
        <f t="shared" si="1"/>
        <v>NO</v>
      </c>
      <c r="M22" s="39" t="str">
        <f t="shared" si="2"/>
        <v>NO</v>
      </c>
      <c r="P22" s="32" t="str">
        <f>LAYOUT_CD!A4</f>
        <v>8. CLUSTER</v>
      </c>
      <c r="Q22" s="33">
        <f t="shared" si="7"/>
        <v>7</v>
      </c>
      <c r="R22" s="38">
        <f t="shared" si="8"/>
        <v>291.71428571428572</v>
      </c>
      <c r="S22" s="36">
        <f>_xlfn.XLOOKUP($P22,LAYOUT_CD!$A$2:$A$10,LAYOUT_CD!$C$2:$C$10)</f>
        <v>4.01</v>
      </c>
      <c r="T22" s="34">
        <f>_xlfn.XLOOKUP($P22,LAYOUT_CD!$A$2:$A$10,LAYOUT_CD!$B$2:$B$10)</f>
        <v>50</v>
      </c>
      <c r="U22" s="68">
        <f t="shared" si="9"/>
        <v>2.8136089112789318</v>
      </c>
      <c r="V22" s="68">
        <f>_xlfn.XLOOKUP($P22,LAYOUT_CD!$A$2:$A$10,LAYOUT_CD!$D$2:$D$10)</f>
        <v>300</v>
      </c>
      <c r="W22" s="69">
        <f t="shared" si="10"/>
        <v>9.3786963709297719E-3</v>
      </c>
      <c r="X22" s="34">
        <f t="shared" si="11"/>
        <v>2</v>
      </c>
      <c r="Y22" s="34">
        <f t="shared" si="12"/>
        <v>3</v>
      </c>
      <c r="Z22" s="34">
        <f t="shared" si="13"/>
        <v>2</v>
      </c>
      <c r="AA22" s="63">
        <f t="shared" si="14"/>
        <v>8188.4199999999992</v>
      </c>
    </row>
    <row r="23" spans="1:27" x14ac:dyDescent="0.35">
      <c r="A23" s="32" t="str">
        <f>STOCK_ACTUAL!B20</f>
        <v>SKU00019</v>
      </c>
      <c r="B23" s="33" t="str">
        <f>STOCK_ACTUAL!C20</f>
        <v>Marca D</v>
      </c>
      <c r="C23" s="33" t="str">
        <f>STOCK_ACTUAL!D20</f>
        <v>Correas</v>
      </c>
      <c r="D23" s="34">
        <f>_xlfn.XLOOKUP($A23,ROTACIÓN!$A$2:$A$101,ROTACIÓN!$B$2:$B$101)</f>
        <v>186</v>
      </c>
      <c r="E23" s="35" t="str">
        <f>_xlfn.XLOOKUP($A23,ROTACIÓN!$A$2:$A$101,ROTACIÓN!$C$2:$C$101)</f>
        <v>C</v>
      </c>
      <c r="F23" s="33" t="str">
        <f>STOCK_ACTUAL!E20</f>
        <v>5. RACK SIMPLE</v>
      </c>
      <c r="G23" s="36">
        <f>_xlfn.XLOOKUP($F23,LAYOUT_CD!$A$2:$A$10,LAYOUT_CD!$C$2:$C$10)</f>
        <v>5.63</v>
      </c>
      <c r="H23" s="34">
        <f>_xlfn.XLOOKUP($F23,LAYOUT_CD!$A$2:$A$10,LAYOUT_CD!$B$2:$B$10)</f>
        <v>65</v>
      </c>
      <c r="I23" s="37">
        <f>STOCK_ACTUAL!F20</f>
        <v>0.2443752583889521</v>
      </c>
      <c r="J23" s="38">
        <f>STOCK_ACTUAL!G20</f>
        <v>44.681670425253898</v>
      </c>
      <c r="K23" s="34">
        <f t="shared" si="0"/>
        <v>1047.18</v>
      </c>
      <c r="L23" s="35" t="str">
        <f t="shared" si="1"/>
        <v>SÍ</v>
      </c>
      <c r="M23" s="39" t="str">
        <f t="shared" si="2"/>
        <v>NO</v>
      </c>
      <c r="P23" s="32" t="str">
        <f>LAYOUT_CD!A5</f>
        <v>4. RACK BALDA</v>
      </c>
      <c r="Q23" s="33">
        <f t="shared" si="7"/>
        <v>12</v>
      </c>
      <c r="R23" s="38">
        <f t="shared" si="8"/>
        <v>266.16666666666669</v>
      </c>
      <c r="S23" s="36">
        <f>_xlfn.XLOOKUP($P23,LAYOUT_CD!$A$2:$A$10,LAYOUT_CD!$C$2:$C$10)</f>
        <v>4.82</v>
      </c>
      <c r="T23" s="34">
        <f>_xlfn.XLOOKUP($P23,LAYOUT_CD!$A$2:$A$10,LAYOUT_CD!$B$2:$B$10)</f>
        <v>60</v>
      </c>
      <c r="U23" s="68">
        <f t="shared" si="9"/>
        <v>4.4088402988203885</v>
      </c>
      <c r="V23" s="68">
        <f>_xlfn.XLOOKUP($P23,LAYOUT_CD!$A$2:$A$10,LAYOUT_CD!$D$2:$D$10)</f>
        <v>250</v>
      </c>
      <c r="W23" s="69">
        <f t="shared" si="10"/>
        <v>1.7635361195281554E-2</v>
      </c>
      <c r="X23" s="34">
        <f t="shared" si="11"/>
        <v>5</v>
      </c>
      <c r="Y23" s="34">
        <f t="shared" si="12"/>
        <v>2</v>
      </c>
      <c r="Z23" s="34">
        <f t="shared" si="13"/>
        <v>5</v>
      </c>
      <c r="AA23" s="63">
        <f t="shared" si="14"/>
        <v>15395.08</v>
      </c>
    </row>
    <row r="24" spans="1:27" x14ac:dyDescent="0.35">
      <c r="A24" s="32" t="str">
        <f>STOCK_ACTUAL!B21</f>
        <v>SKU00020</v>
      </c>
      <c r="B24" s="33" t="str">
        <f>STOCK_ACTUAL!C21</f>
        <v>Marca E</v>
      </c>
      <c r="C24" s="33" t="str">
        <f>STOCK_ACTUAL!D21</f>
        <v>Soportes</v>
      </c>
      <c r="D24" s="34">
        <f>_xlfn.XLOOKUP($A24,ROTACIÓN!$A$2:$A$101,ROTACIÓN!$B$2:$B$101)</f>
        <v>399</v>
      </c>
      <c r="E24" s="35" t="str">
        <f>_xlfn.XLOOKUP($A24,ROTACIÓN!$A$2:$A$101,ROTACIÓN!$C$2:$C$101)</f>
        <v>A</v>
      </c>
      <c r="F24" s="33" t="str">
        <f>STOCK_ACTUAL!E21</f>
        <v>2. PISO</v>
      </c>
      <c r="G24" s="36">
        <f>_xlfn.XLOOKUP($F24,LAYOUT_CD!$A$2:$A$10,LAYOUT_CD!$C$2:$C$10)</f>
        <v>1.6</v>
      </c>
      <c r="H24" s="34">
        <f>_xlfn.XLOOKUP($F24,LAYOUT_CD!$A$2:$A$10,LAYOUT_CD!$B$2:$B$10)</f>
        <v>10</v>
      </c>
      <c r="I24" s="37">
        <f>STOCK_ACTUAL!F21</f>
        <v>0.18105311308911889</v>
      </c>
      <c r="J24" s="38">
        <f>STOCK_ACTUAL!G21</f>
        <v>27.197440974824708</v>
      </c>
      <c r="K24" s="34">
        <f t="shared" si="0"/>
        <v>638.40000000000009</v>
      </c>
      <c r="L24" s="35" t="str">
        <f t="shared" si="1"/>
        <v>NO</v>
      </c>
      <c r="M24" s="39" t="str">
        <f t="shared" si="2"/>
        <v>NO</v>
      </c>
      <c r="P24" s="32" t="str">
        <f>LAYOUT_CD!A6</f>
        <v>5. RACK SIMPLE</v>
      </c>
      <c r="Q24" s="33">
        <f t="shared" si="7"/>
        <v>15</v>
      </c>
      <c r="R24" s="38">
        <f t="shared" si="8"/>
        <v>318.46666666666664</v>
      </c>
      <c r="S24" s="36">
        <f>_xlfn.XLOOKUP($P24,LAYOUT_CD!$A$2:$A$10,LAYOUT_CD!$C$2:$C$10)</f>
        <v>5.63</v>
      </c>
      <c r="T24" s="34">
        <f>_xlfn.XLOOKUP($P24,LAYOUT_CD!$A$2:$A$10,LAYOUT_CD!$B$2:$B$10)</f>
        <v>65</v>
      </c>
      <c r="U24" s="68">
        <f t="shared" si="9"/>
        <v>5.256161762917416</v>
      </c>
      <c r="V24" s="68">
        <f>_xlfn.XLOOKUP($P24,LAYOUT_CD!$A$2:$A$10,LAYOUT_CD!$D$2:$D$10)</f>
        <v>280</v>
      </c>
      <c r="W24" s="69">
        <f t="shared" si="10"/>
        <v>1.8772006296133629E-2</v>
      </c>
      <c r="X24" s="34">
        <f t="shared" si="11"/>
        <v>6</v>
      </c>
      <c r="Y24" s="34">
        <f t="shared" si="12"/>
        <v>6</v>
      </c>
      <c r="Z24" s="34">
        <f t="shared" si="13"/>
        <v>3</v>
      </c>
      <c r="AA24" s="63">
        <f t="shared" si="14"/>
        <v>26894.509999999995</v>
      </c>
    </row>
    <row r="25" spans="1:27" x14ac:dyDescent="0.35">
      <c r="A25" s="32" t="str">
        <f>STOCK_ACTUAL!B22</f>
        <v>SKU00021</v>
      </c>
      <c r="B25" s="33" t="str">
        <f>STOCK_ACTUAL!C22</f>
        <v>Marca A</v>
      </c>
      <c r="C25" s="33" t="str">
        <f>STOCK_ACTUAL!D22</f>
        <v>Filtros</v>
      </c>
      <c r="D25" s="34">
        <f>_xlfn.XLOOKUP($A25,ROTACIÓN!$A$2:$A$101,ROTACIÓN!$B$2:$B$101)</f>
        <v>167</v>
      </c>
      <c r="E25" s="35" t="str">
        <f>_xlfn.XLOOKUP($A25,ROTACIÓN!$A$2:$A$101,ROTACIÓN!$C$2:$C$101)</f>
        <v>C</v>
      </c>
      <c r="F25" s="33" t="str">
        <f>STOCK_ACTUAL!E22</f>
        <v>5. RACK SIMPLE</v>
      </c>
      <c r="G25" s="36">
        <f>_xlfn.XLOOKUP($F25,LAYOUT_CD!$A$2:$A$10,LAYOUT_CD!$C$2:$C$10)</f>
        <v>5.63</v>
      </c>
      <c r="H25" s="34">
        <f>_xlfn.XLOOKUP($F25,LAYOUT_CD!$A$2:$A$10,LAYOUT_CD!$B$2:$B$10)</f>
        <v>65</v>
      </c>
      <c r="I25" s="37">
        <f>STOCK_ACTUAL!F22</f>
        <v>0.32533380262507078</v>
      </c>
      <c r="J25" s="38">
        <f>STOCK_ACTUAL!G22</f>
        <v>40.468287680621103</v>
      </c>
      <c r="K25" s="34">
        <f t="shared" si="0"/>
        <v>940.21</v>
      </c>
      <c r="L25" s="35" t="str">
        <f t="shared" si="1"/>
        <v>SÍ</v>
      </c>
      <c r="M25" s="39" t="str">
        <f t="shared" si="2"/>
        <v>NO</v>
      </c>
      <c r="P25" s="32" t="str">
        <f>LAYOUT_CD!A7</f>
        <v>6. RACK COLGANTES</v>
      </c>
      <c r="Q25" s="33">
        <f t="shared" si="7"/>
        <v>6</v>
      </c>
      <c r="R25" s="38">
        <f t="shared" si="8"/>
        <v>272.5</v>
      </c>
      <c r="S25" s="36">
        <f>_xlfn.XLOOKUP($P25,LAYOUT_CD!$A$2:$A$10,LAYOUT_CD!$C$2:$C$10)</f>
        <v>3.61</v>
      </c>
      <c r="T25" s="34">
        <f>_xlfn.XLOOKUP($P25,LAYOUT_CD!$A$2:$A$10,LAYOUT_CD!$B$2:$B$10)</f>
        <v>45</v>
      </c>
      <c r="U25" s="68">
        <f t="shared" si="9"/>
        <v>1.6933486596874612</v>
      </c>
      <c r="V25" s="68">
        <f>_xlfn.XLOOKUP($P25,LAYOUT_CD!$A$2:$A$10,LAYOUT_CD!$D$2:$D$10)</f>
        <v>180</v>
      </c>
      <c r="W25" s="69">
        <f t="shared" si="10"/>
        <v>9.4074925538192283E-3</v>
      </c>
      <c r="X25" s="34">
        <f t="shared" si="11"/>
        <v>2</v>
      </c>
      <c r="Y25" s="34">
        <f t="shared" si="12"/>
        <v>2</v>
      </c>
      <c r="Z25" s="34">
        <f t="shared" si="13"/>
        <v>2</v>
      </c>
      <c r="AA25" s="63">
        <f t="shared" si="14"/>
        <v>5902.35</v>
      </c>
    </row>
    <row r="26" spans="1:27" x14ac:dyDescent="0.35">
      <c r="A26" s="32" t="str">
        <f>STOCK_ACTUAL!B23</f>
        <v>SKU00022</v>
      </c>
      <c r="B26" s="33" t="str">
        <f>STOCK_ACTUAL!C23</f>
        <v>Marca B</v>
      </c>
      <c r="C26" s="33" t="str">
        <f>STOCK_ACTUAL!D23</f>
        <v>Lubricantes</v>
      </c>
      <c r="D26" s="34">
        <f>_xlfn.XLOOKUP($A26,ROTACIÓN!$A$2:$A$101,ROTACIÓN!$B$2:$B$101)</f>
        <v>298</v>
      </c>
      <c r="E26" s="35" t="str">
        <f>_xlfn.XLOOKUP($A26,ROTACIÓN!$A$2:$A$101,ROTACIÓN!$C$2:$C$101)</f>
        <v>B</v>
      </c>
      <c r="F26" s="33" t="str">
        <f>STOCK_ACTUAL!E23</f>
        <v>10. UBICACIÓN RECIBO</v>
      </c>
      <c r="G26" s="36">
        <f>_xlfn.XLOOKUP($F26,LAYOUT_CD!$A$2:$A$10,LAYOUT_CD!$C$2:$C$10)</f>
        <v>2.0099999999999998</v>
      </c>
      <c r="H26" s="34">
        <f>_xlfn.XLOOKUP($F26,LAYOUT_CD!$A$2:$A$10,LAYOUT_CD!$B$2:$B$10)</f>
        <v>15</v>
      </c>
      <c r="I26" s="37">
        <f>STOCK_ACTUAL!F23</f>
        <v>0.1127722372934188</v>
      </c>
      <c r="J26" s="38">
        <f>STOCK_ACTUAL!G23</f>
        <v>44.856519346212913</v>
      </c>
      <c r="K26" s="34">
        <f t="shared" si="0"/>
        <v>598.9799999999999</v>
      </c>
      <c r="L26" s="35" t="str">
        <f t="shared" si="1"/>
        <v>NO</v>
      </c>
      <c r="M26" s="39" t="str">
        <f t="shared" si="2"/>
        <v>NO</v>
      </c>
      <c r="P26" s="32" t="str">
        <f>LAYOUT_CD!A8</f>
        <v>1. LLANTAS</v>
      </c>
      <c r="Q26" s="33">
        <f t="shared" si="7"/>
        <v>15</v>
      </c>
      <c r="R26" s="38">
        <f t="shared" si="8"/>
        <v>273</v>
      </c>
      <c r="S26" s="36">
        <f>_xlfn.XLOOKUP($P26,LAYOUT_CD!$A$2:$A$10,LAYOUT_CD!$C$2:$C$10)</f>
        <v>8.0399999999999991</v>
      </c>
      <c r="T26" s="34">
        <f>_xlfn.XLOOKUP($P26,LAYOUT_CD!$A$2:$A$10,LAYOUT_CD!$B$2:$B$10)</f>
        <v>100</v>
      </c>
      <c r="U26" s="68">
        <f t="shared" si="9"/>
        <v>3.7767000346159687</v>
      </c>
      <c r="V26" s="68">
        <f>_xlfn.XLOOKUP($P26,LAYOUT_CD!$A$2:$A$10,LAYOUT_CD!$D$2:$D$10)</f>
        <v>400</v>
      </c>
      <c r="W26" s="69">
        <f t="shared" si="10"/>
        <v>9.4417500865399216E-3</v>
      </c>
      <c r="X26" s="34">
        <f t="shared" si="11"/>
        <v>3</v>
      </c>
      <c r="Y26" s="34">
        <f t="shared" si="12"/>
        <v>9</v>
      </c>
      <c r="Z26" s="34">
        <f t="shared" si="13"/>
        <v>3</v>
      </c>
      <c r="AA26" s="63">
        <f t="shared" si="14"/>
        <v>32923.799999999996</v>
      </c>
    </row>
    <row r="27" spans="1:27" x14ac:dyDescent="0.35">
      <c r="A27" s="32" t="str">
        <f>STOCK_ACTUAL!B24</f>
        <v>SKU00023</v>
      </c>
      <c r="B27" s="33" t="str">
        <f>STOCK_ACTUAL!C24</f>
        <v>Marca C</v>
      </c>
      <c r="C27" s="33" t="str">
        <f>STOCK_ACTUAL!D24</f>
        <v>Pastillas</v>
      </c>
      <c r="D27" s="34">
        <f>_xlfn.XLOOKUP($A27,ROTACIÓN!$A$2:$A$101,ROTACIÓN!$B$2:$B$101)</f>
        <v>186</v>
      </c>
      <c r="E27" s="35" t="str">
        <f>_xlfn.XLOOKUP($A27,ROTACIÓN!$A$2:$A$101,ROTACIÓN!$C$2:$C$101)</f>
        <v>C</v>
      </c>
      <c r="F27" s="33" t="str">
        <f>STOCK_ACTUAL!E24</f>
        <v>2. PISO</v>
      </c>
      <c r="G27" s="36">
        <f>_xlfn.XLOOKUP($F27,LAYOUT_CD!$A$2:$A$10,LAYOUT_CD!$C$2:$C$10)</f>
        <v>1.6</v>
      </c>
      <c r="H27" s="34">
        <f>_xlfn.XLOOKUP($F27,LAYOUT_CD!$A$2:$A$10,LAYOUT_CD!$B$2:$B$10)</f>
        <v>10</v>
      </c>
      <c r="I27" s="37">
        <f>STOCK_ACTUAL!F24</f>
        <v>0.18146509184084819</v>
      </c>
      <c r="J27" s="38">
        <f>STOCK_ACTUAL!G24</f>
        <v>16.24117201110726</v>
      </c>
      <c r="K27" s="34">
        <f t="shared" si="0"/>
        <v>297.60000000000002</v>
      </c>
      <c r="L27" s="35" t="str">
        <f t="shared" si="1"/>
        <v>NO</v>
      </c>
      <c r="M27" s="39" t="str">
        <f t="shared" si="2"/>
        <v>NO</v>
      </c>
      <c r="P27" s="32" t="str">
        <f>LAYOUT_CD!A9</f>
        <v>7. MEZANNINE</v>
      </c>
      <c r="Q27" s="33">
        <f t="shared" si="7"/>
        <v>10</v>
      </c>
      <c r="R27" s="38">
        <f t="shared" si="8"/>
        <v>315.39999999999998</v>
      </c>
      <c r="S27" s="36">
        <f>_xlfn.XLOOKUP($P27,LAYOUT_CD!$A$2:$A$10,LAYOUT_CD!$C$2:$C$10)</f>
        <v>6.42</v>
      </c>
      <c r="T27" s="34">
        <f>_xlfn.XLOOKUP($P27,LAYOUT_CD!$A$2:$A$10,LAYOUT_CD!$B$2:$B$10)</f>
        <v>80</v>
      </c>
      <c r="U27" s="68">
        <f t="shared" si="9"/>
        <v>2.8004790278472886</v>
      </c>
      <c r="V27" s="68">
        <f>_xlfn.XLOOKUP($P27,LAYOUT_CD!$A$2:$A$10,LAYOUT_CD!$D$2:$D$10)</f>
        <v>350</v>
      </c>
      <c r="W27" s="69">
        <f t="shared" si="10"/>
        <v>8.0013686509922532E-3</v>
      </c>
      <c r="X27" s="34">
        <f t="shared" si="11"/>
        <v>4</v>
      </c>
      <c r="Y27" s="34">
        <f t="shared" si="12"/>
        <v>5</v>
      </c>
      <c r="Z27" s="34">
        <f t="shared" si="13"/>
        <v>1</v>
      </c>
      <c r="AA27" s="63">
        <f t="shared" si="14"/>
        <v>20248.679999999997</v>
      </c>
    </row>
    <row r="28" spans="1:27" x14ac:dyDescent="0.35">
      <c r="A28" s="32" t="str">
        <f>STOCK_ACTUAL!B25</f>
        <v>SKU00024</v>
      </c>
      <c r="B28" s="33" t="str">
        <f>STOCK_ACTUAL!C25</f>
        <v>Marca D</v>
      </c>
      <c r="C28" s="33" t="str">
        <f>STOCK_ACTUAL!D25</f>
        <v>Correas</v>
      </c>
      <c r="D28" s="34">
        <f>_xlfn.XLOOKUP($A28,ROTACIÓN!$A$2:$A$101,ROTACIÓN!$B$2:$B$101)</f>
        <v>171</v>
      </c>
      <c r="E28" s="35" t="str">
        <f>_xlfn.XLOOKUP($A28,ROTACIÓN!$A$2:$A$101,ROTACIÓN!$C$2:$C$101)</f>
        <v>C</v>
      </c>
      <c r="F28" s="33" t="str">
        <f>STOCK_ACTUAL!E25</f>
        <v>4. RACK BALDA</v>
      </c>
      <c r="G28" s="36">
        <f>_xlfn.XLOOKUP($F28,LAYOUT_CD!$A$2:$A$10,LAYOUT_CD!$C$2:$C$10)</f>
        <v>4.82</v>
      </c>
      <c r="H28" s="34">
        <f>_xlfn.XLOOKUP($F28,LAYOUT_CD!$A$2:$A$10,LAYOUT_CD!$B$2:$B$10)</f>
        <v>60</v>
      </c>
      <c r="I28" s="37">
        <f>STOCK_ACTUAL!F25</f>
        <v>0.21486282948216129</v>
      </c>
      <c r="J28" s="38">
        <f>STOCK_ACTUAL!G25</f>
        <v>5.9475702641199986</v>
      </c>
      <c r="K28" s="34">
        <f t="shared" si="0"/>
        <v>824.22</v>
      </c>
      <c r="L28" s="35" t="str">
        <f t="shared" si="1"/>
        <v>SÍ</v>
      </c>
      <c r="M28" s="39" t="str">
        <f t="shared" si="2"/>
        <v>NO</v>
      </c>
      <c r="P28" s="64" t="str">
        <f>LAYOUT_CD!A10</f>
        <v>14. LATERALES</v>
      </c>
      <c r="Q28" s="70">
        <f t="shared" si="7"/>
        <v>0</v>
      </c>
      <c r="R28" s="65">
        <f t="shared" si="8"/>
        <v>0</v>
      </c>
      <c r="S28" s="71">
        <f>_xlfn.XLOOKUP($P28,LAYOUT_CD!$A$2:$A$10,LAYOUT_CD!$C$2:$C$10)</f>
        <v>5.63</v>
      </c>
      <c r="T28" s="66">
        <f>_xlfn.XLOOKUP($P28,LAYOUT_CD!$A$2:$A$10,LAYOUT_CD!$B$2:$B$10)</f>
        <v>70</v>
      </c>
      <c r="U28" s="72">
        <f t="shared" si="9"/>
        <v>0</v>
      </c>
      <c r="V28" s="72">
        <f>_xlfn.XLOOKUP($P28,LAYOUT_CD!$A$2:$A$10,LAYOUT_CD!$D$2:$D$10)</f>
        <v>220</v>
      </c>
      <c r="W28" s="73">
        <f t="shared" si="10"/>
        <v>0</v>
      </c>
      <c r="X28" s="66">
        <f t="shared" si="11"/>
        <v>0</v>
      </c>
      <c r="Y28" s="66">
        <f t="shared" si="12"/>
        <v>0</v>
      </c>
      <c r="Z28" s="66">
        <f t="shared" si="13"/>
        <v>0</v>
      </c>
      <c r="AA28" s="67">
        <f t="shared" si="14"/>
        <v>0</v>
      </c>
    </row>
    <row r="29" spans="1:27" x14ac:dyDescent="0.35">
      <c r="A29" s="32" t="str">
        <f>STOCK_ACTUAL!B26</f>
        <v>SKU00025</v>
      </c>
      <c r="B29" s="33" t="str">
        <f>STOCK_ACTUAL!C26</f>
        <v>Marca E</v>
      </c>
      <c r="C29" s="33" t="str">
        <f>STOCK_ACTUAL!D26</f>
        <v>Soportes</v>
      </c>
      <c r="D29" s="34">
        <f>_xlfn.XLOOKUP($A29,ROTACIÓN!$A$2:$A$101,ROTACIÓN!$B$2:$B$101)</f>
        <v>439</v>
      </c>
      <c r="E29" s="35" t="str">
        <f>_xlfn.XLOOKUP($A29,ROTACIÓN!$A$2:$A$101,ROTACIÓN!$C$2:$C$101)</f>
        <v>A</v>
      </c>
      <c r="F29" s="33" t="str">
        <f>STOCK_ACTUAL!E26</f>
        <v>5. RACK SIMPLE</v>
      </c>
      <c r="G29" s="36">
        <f>_xlfn.XLOOKUP($F29,LAYOUT_CD!$A$2:$A$10,LAYOUT_CD!$C$2:$C$10)</f>
        <v>5.63</v>
      </c>
      <c r="H29" s="34">
        <f>_xlfn.XLOOKUP($F29,LAYOUT_CD!$A$2:$A$10,LAYOUT_CD!$B$2:$B$10)</f>
        <v>65</v>
      </c>
      <c r="I29" s="37">
        <f>STOCK_ACTUAL!F26</f>
        <v>0.25523149289766622</v>
      </c>
      <c r="J29" s="38">
        <f>STOCK_ACTUAL!G26</f>
        <v>11.78279054582611</v>
      </c>
      <c r="K29" s="34">
        <f t="shared" si="0"/>
        <v>2471.5700000000002</v>
      </c>
      <c r="L29" s="35" t="str">
        <f t="shared" si="1"/>
        <v>SÍ</v>
      </c>
      <c r="M29" s="39" t="str">
        <f t="shared" si="2"/>
        <v>SÍ</v>
      </c>
    </row>
    <row r="30" spans="1:27" x14ac:dyDescent="0.35">
      <c r="A30" s="32" t="str">
        <f>STOCK_ACTUAL!B27</f>
        <v>SKU00026</v>
      </c>
      <c r="B30" s="33" t="str">
        <f>STOCK_ACTUAL!C27</f>
        <v>Marca A</v>
      </c>
      <c r="C30" s="33" t="str">
        <f>STOCK_ACTUAL!D27</f>
        <v>Filtros</v>
      </c>
      <c r="D30" s="34">
        <f>_xlfn.XLOOKUP($A30,ROTACIÓN!$A$2:$A$101,ROTACIÓN!$B$2:$B$101)</f>
        <v>484</v>
      </c>
      <c r="E30" s="35" t="str">
        <f>_xlfn.XLOOKUP($A30,ROTACIÓN!$A$2:$A$101,ROTACIÓN!$C$2:$C$101)</f>
        <v>A</v>
      </c>
      <c r="F30" s="33" t="str">
        <f>STOCK_ACTUAL!E27</f>
        <v>6. RACK COLGANTES</v>
      </c>
      <c r="G30" s="36">
        <f>_xlfn.XLOOKUP($F30,LAYOUT_CD!$A$2:$A$10,LAYOUT_CD!$C$2:$C$10)</f>
        <v>3.61</v>
      </c>
      <c r="H30" s="34">
        <f>_xlfn.XLOOKUP($F30,LAYOUT_CD!$A$2:$A$10,LAYOUT_CD!$B$2:$B$10)</f>
        <v>45</v>
      </c>
      <c r="I30" s="37">
        <f>STOCK_ACTUAL!F27</f>
        <v>0.40332918262685608</v>
      </c>
      <c r="J30" s="38">
        <f>STOCK_ACTUAL!G27</f>
        <v>21.64183553699969</v>
      </c>
      <c r="K30" s="34">
        <f t="shared" si="0"/>
        <v>1747.24</v>
      </c>
      <c r="L30" s="35" t="str">
        <f t="shared" si="1"/>
        <v>NO</v>
      </c>
      <c r="M30" s="39" t="str">
        <f t="shared" si="2"/>
        <v>NO</v>
      </c>
    </row>
    <row r="31" spans="1:27" ht="32" customHeight="1" x14ac:dyDescent="0.35">
      <c r="A31" s="32" t="str">
        <f>STOCK_ACTUAL!B28</f>
        <v>SKU00027</v>
      </c>
      <c r="B31" s="33" t="str">
        <f>STOCK_ACTUAL!C28</f>
        <v>Marca B</v>
      </c>
      <c r="C31" s="33" t="str">
        <f>STOCK_ACTUAL!D28</f>
        <v>Lubricantes</v>
      </c>
      <c r="D31" s="34">
        <f>_xlfn.XLOOKUP($A31,ROTACIÓN!$A$2:$A$101,ROTACIÓN!$B$2:$B$101)</f>
        <v>72</v>
      </c>
      <c r="E31" s="35" t="str">
        <f>_xlfn.XLOOKUP($A31,ROTACIÓN!$A$2:$A$101,ROTACIÓN!$C$2:$C$101)</f>
        <v>C</v>
      </c>
      <c r="F31" s="33" t="str">
        <f>STOCK_ACTUAL!E28</f>
        <v>10. UBICACIÓN RECIBO</v>
      </c>
      <c r="G31" s="36">
        <f>_xlfn.XLOOKUP($F31,LAYOUT_CD!$A$2:$A$10,LAYOUT_CD!$C$2:$C$10)</f>
        <v>2.0099999999999998</v>
      </c>
      <c r="H31" s="34">
        <f>_xlfn.XLOOKUP($F31,LAYOUT_CD!$A$2:$A$10,LAYOUT_CD!$B$2:$B$10)</f>
        <v>15</v>
      </c>
      <c r="I31" s="37">
        <f>STOCK_ACTUAL!F28</f>
        <v>0.13985320197126189</v>
      </c>
      <c r="J31" s="38">
        <f>STOCK_ACTUAL!G28</f>
        <v>40.991730913163408</v>
      </c>
      <c r="K31" s="34">
        <f t="shared" si="0"/>
        <v>144.71999999999997</v>
      </c>
      <c r="L31" s="35" t="str">
        <f t="shared" si="1"/>
        <v>NO</v>
      </c>
      <c r="M31" s="39" t="str">
        <f t="shared" si="2"/>
        <v>NO</v>
      </c>
      <c r="P31" s="79" t="s">
        <v>336</v>
      </c>
      <c r="Q31" s="49" t="s">
        <v>19</v>
      </c>
      <c r="R31" s="49" t="s">
        <v>337</v>
      </c>
      <c r="S31" s="49" t="s">
        <v>305</v>
      </c>
      <c r="T31" s="83" t="s">
        <v>338</v>
      </c>
    </row>
    <row r="32" spans="1:27" x14ac:dyDescent="0.35">
      <c r="A32" s="32" t="str">
        <f>STOCK_ACTUAL!B29</f>
        <v>SKU00028</v>
      </c>
      <c r="B32" s="33" t="str">
        <f>STOCK_ACTUAL!C29</f>
        <v>Marca C</v>
      </c>
      <c r="C32" s="33" t="str">
        <f>STOCK_ACTUAL!D29</f>
        <v>Pastillas</v>
      </c>
      <c r="D32" s="34">
        <f>_xlfn.XLOOKUP($A32,ROTACIÓN!$A$2:$A$101,ROTACIÓN!$B$2:$B$101)</f>
        <v>353</v>
      </c>
      <c r="E32" s="35" t="str">
        <f>_xlfn.XLOOKUP($A32,ROTACIÓN!$A$2:$A$101,ROTACIÓN!$C$2:$C$101)</f>
        <v>A</v>
      </c>
      <c r="F32" s="33" t="str">
        <f>STOCK_ACTUAL!E29</f>
        <v>2. PISO</v>
      </c>
      <c r="G32" s="36">
        <f>_xlfn.XLOOKUP($F32,LAYOUT_CD!$A$2:$A$10,LAYOUT_CD!$C$2:$C$10)</f>
        <v>1.6</v>
      </c>
      <c r="H32" s="34">
        <f>_xlfn.XLOOKUP($F32,LAYOUT_CD!$A$2:$A$10,LAYOUT_CD!$B$2:$B$10)</f>
        <v>10</v>
      </c>
      <c r="I32" s="37">
        <f>STOCK_ACTUAL!F29</f>
        <v>0.28140549728612518</v>
      </c>
      <c r="J32" s="38">
        <f>STOCK_ACTUAL!G29</f>
        <v>43.106163871188997</v>
      </c>
      <c r="K32" s="34">
        <f t="shared" si="0"/>
        <v>564.80000000000007</v>
      </c>
      <c r="L32" s="35" t="str">
        <f t="shared" si="1"/>
        <v>NO</v>
      </c>
      <c r="M32" s="39" t="str">
        <f t="shared" si="2"/>
        <v>NO</v>
      </c>
      <c r="P32" s="32" t="str" cm="1">
        <f t="array" ref="P32">INDEX($A$5:$A$104,MATCH(LARGE($D$5:$D$104-ROW($D$5:$D$104)/100000,ROW()-31),$D$5:$D$104-ROW($D$5:$D$104)/100000,0))</f>
        <v>SKU00085</v>
      </c>
      <c r="Q32" s="34">
        <f>LARGE($D$5:$D$104,ROW()-31)</f>
        <v>496</v>
      </c>
      <c r="R32" s="57">
        <f>SUM($Q$32:$Q32)/$S$8</f>
        <v>1.6649882510909701E-2</v>
      </c>
      <c r="S32" s="33" t="str">
        <f>_xlfn.XLOOKUP($P32,$A$5:$A$104,$F$5:$F$104)</f>
        <v>10. UBICACIÓN RECIBO</v>
      </c>
      <c r="T32" s="74">
        <f>_xlfn.XLOOKUP($P32,$A$5:$A$104,$G$5:$G$104)</f>
        <v>2.0099999999999998</v>
      </c>
    </row>
    <row r="33" spans="1:20" x14ac:dyDescent="0.35">
      <c r="A33" s="32" t="str">
        <f>STOCK_ACTUAL!B30</f>
        <v>SKU00029</v>
      </c>
      <c r="B33" s="33" t="str">
        <f>STOCK_ACTUAL!C30</f>
        <v>Marca D</v>
      </c>
      <c r="C33" s="33" t="str">
        <f>STOCK_ACTUAL!D30</f>
        <v>Correas</v>
      </c>
      <c r="D33" s="34">
        <f>_xlfn.XLOOKUP($A33,ROTACIÓN!$A$2:$A$101,ROTACIÓN!$B$2:$B$101)</f>
        <v>419</v>
      </c>
      <c r="E33" s="35" t="str">
        <f>_xlfn.XLOOKUP($A33,ROTACIÓN!$A$2:$A$101,ROTACIÓN!$C$2:$C$101)</f>
        <v>A</v>
      </c>
      <c r="F33" s="33" t="str">
        <f>STOCK_ACTUAL!E30</f>
        <v>4. RACK BALDA</v>
      </c>
      <c r="G33" s="36">
        <f>_xlfn.XLOOKUP($F33,LAYOUT_CD!$A$2:$A$10,LAYOUT_CD!$C$2:$C$10)</f>
        <v>4.82</v>
      </c>
      <c r="H33" s="34">
        <f>_xlfn.XLOOKUP($F33,LAYOUT_CD!$A$2:$A$10,LAYOUT_CD!$B$2:$B$10)</f>
        <v>60</v>
      </c>
      <c r="I33" s="37">
        <f>STOCK_ACTUAL!F30</f>
        <v>0.31658655598791913</v>
      </c>
      <c r="J33" s="38">
        <f>STOCK_ACTUAL!G30</f>
        <v>0.84413046129393976</v>
      </c>
      <c r="K33" s="34">
        <f t="shared" si="0"/>
        <v>2019.5800000000002</v>
      </c>
      <c r="L33" s="35" t="str">
        <f t="shared" si="1"/>
        <v>SÍ</v>
      </c>
      <c r="M33" s="39" t="str">
        <f t="shared" si="2"/>
        <v>SÍ</v>
      </c>
      <c r="P33" s="32" t="str" cm="1">
        <f t="array" ref="P33">INDEX($A$5:$A$104,MATCH(LARGE($D$5:$D$104-ROW($D$5:$D$104)/100000,ROW()-31),$D$5:$D$104-ROW($D$5:$D$104)/100000,0))</f>
        <v>SKU00078</v>
      </c>
      <c r="Q33" s="34">
        <f t="shared" ref="Q33:Q51" si="15">LARGE($D$5:$D$104,ROW()-31)</f>
        <v>485</v>
      </c>
      <c r="R33" s="57">
        <f>SUM($Q$32:$Q33)/$S$8</f>
        <v>3.2930513595166161E-2</v>
      </c>
      <c r="S33" s="33" t="str">
        <f t="shared" ref="S33:S51" si="16">_xlfn.XLOOKUP($P33,$A$5:$A$104,$F$5:$F$104)</f>
        <v>1. LLANTAS</v>
      </c>
      <c r="T33" s="74">
        <f t="shared" ref="T33:T51" si="17">_xlfn.XLOOKUP($P33,$A$5:$A$104,$G$5:$G$104)</f>
        <v>8.0399999999999991</v>
      </c>
    </row>
    <row r="34" spans="1:20" x14ac:dyDescent="0.35">
      <c r="A34" s="32" t="str">
        <f>STOCK_ACTUAL!B31</f>
        <v>SKU00030</v>
      </c>
      <c r="B34" s="33" t="str">
        <f>STOCK_ACTUAL!C31</f>
        <v>Marca E</v>
      </c>
      <c r="C34" s="33" t="str">
        <f>STOCK_ACTUAL!D31</f>
        <v>Soportes</v>
      </c>
      <c r="D34" s="34">
        <f>_xlfn.XLOOKUP($A34,ROTACIÓN!$A$2:$A$101,ROTACIÓN!$B$2:$B$101)</f>
        <v>450</v>
      </c>
      <c r="E34" s="35" t="str">
        <f>_xlfn.XLOOKUP($A34,ROTACIÓN!$A$2:$A$101,ROTACIÓN!$C$2:$C$101)</f>
        <v>A</v>
      </c>
      <c r="F34" s="33" t="str">
        <f>STOCK_ACTUAL!E31</f>
        <v>2. PISO</v>
      </c>
      <c r="G34" s="36">
        <f>_xlfn.XLOOKUP($F34,LAYOUT_CD!$A$2:$A$10,LAYOUT_CD!$C$2:$C$10)</f>
        <v>1.6</v>
      </c>
      <c r="H34" s="34">
        <f>_xlfn.XLOOKUP($F34,LAYOUT_CD!$A$2:$A$10,LAYOUT_CD!$B$2:$B$10)</f>
        <v>10</v>
      </c>
      <c r="I34" s="37">
        <f>STOCK_ACTUAL!F31</f>
        <v>7.0902685723998979E-2</v>
      </c>
      <c r="J34" s="38">
        <f>STOCK_ACTUAL!G31</f>
        <v>25.7819914775895</v>
      </c>
      <c r="K34" s="34">
        <f t="shared" si="0"/>
        <v>720</v>
      </c>
      <c r="L34" s="35" t="str">
        <f t="shared" si="1"/>
        <v>NO</v>
      </c>
      <c r="M34" s="39" t="str">
        <f t="shared" si="2"/>
        <v>NO</v>
      </c>
      <c r="P34" s="32" t="str" cm="1">
        <f t="array" ref="P34">INDEX($A$5:$A$104,MATCH(LARGE($D$5:$D$104-ROW($D$5:$D$104)/100000,ROW()-31),$D$5:$D$104-ROW($D$5:$D$104)/100000,0))</f>
        <v>SKU00026</v>
      </c>
      <c r="Q34" s="34">
        <f t="shared" si="15"/>
        <v>484</v>
      </c>
      <c r="R34" s="57">
        <f>SUM($Q$32:$Q34)/$S$8</f>
        <v>4.9177576367908697E-2</v>
      </c>
      <c r="S34" s="33" t="str">
        <f t="shared" si="16"/>
        <v>6. RACK COLGANTES</v>
      </c>
      <c r="T34" s="74">
        <f t="shared" si="17"/>
        <v>3.61</v>
      </c>
    </row>
    <row r="35" spans="1:20" x14ac:dyDescent="0.35">
      <c r="A35" s="32" t="str">
        <f>STOCK_ACTUAL!B32</f>
        <v>SKU00031</v>
      </c>
      <c r="B35" s="33" t="str">
        <f>STOCK_ACTUAL!C32</f>
        <v>Marca A</v>
      </c>
      <c r="C35" s="33" t="str">
        <f>STOCK_ACTUAL!D32</f>
        <v>Filtros</v>
      </c>
      <c r="D35" s="34">
        <f>_xlfn.XLOOKUP($A35,ROTACIÓN!$A$2:$A$101,ROTACIÓN!$B$2:$B$101)</f>
        <v>135</v>
      </c>
      <c r="E35" s="35" t="str">
        <f>_xlfn.XLOOKUP($A35,ROTACIÓN!$A$2:$A$101,ROTACIÓN!$C$2:$C$101)</f>
        <v>C</v>
      </c>
      <c r="F35" s="33" t="str">
        <f>STOCK_ACTUAL!E32</f>
        <v>8. CLUSTER</v>
      </c>
      <c r="G35" s="36">
        <f>_xlfn.XLOOKUP($F35,LAYOUT_CD!$A$2:$A$10,LAYOUT_CD!$C$2:$C$10)</f>
        <v>4.01</v>
      </c>
      <c r="H35" s="34">
        <f>_xlfn.XLOOKUP($F35,LAYOUT_CD!$A$2:$A$10,LAYOUT_CD!$B$2:$B$10)</f>
        <v>50</v>
      </c>
      <c r="I35" s="37">
        <f>STOCK_ACTUAL!F32</f>
        <v>0.32339518335564732</v>
      </c>
      <c r="J35" s="38">
        <f>STOCK_ACTUAL!G32</f>
        <v>21.161844655864559</v>
      </c>
      <c r="K35" s="34">
        <f t="shared" si="0"/>
        <v>541.35</v>
      </c>
      <c r="L35" s="35" t="str">
        <f t="shared" si="1"/>
        <v>SÍ</v>
      </c>
      <c r="M35" s="39" t="str">
        <f t="shared" si="2"/>
        <v>NO</v>
      </c>
      <c r="P35" s="32" t="str" cm="1">
        <f t="array" ref="P35">INDEX($A$5:$A$104,MATCH(LARGE($D$5:$D$104-ROW($D$5:$D$104)/100000,ROW()-31),$D$5:$D$104-ROW($D$5:$D$104)/100000,0))</f>
        <v>SKU00069</v>
      </c>
      <c r="Q35" s="34">
        <f t="shared" si="15"/>
        <v>479</v>
      </c>
      <c r="R35" s="57">
        <f>SUM($Q$32:$Q35)/$S$8</f>
        <v>6.5256797583081574E-2</v>
      </c>
      <c r="S35" s="33" t="str">
        <f t="shared" si="16"/>
        <v>10. UBICACIÓN RECIBO</v>
      </c>
      <c r="T35" s="74">
        <f t="shared" si="17"/>
        <v>2.0099999999999998</v>
      </c>
    </row>
    <row r="36" spans="1:20" x14ac:dyDescent="0.35">
      <c r="A36" s="32" t="str">
        <f>STOCK_ACTUAL!B33</f>
        <v>SKU00032</v>
      </c>
      <c r="B36" s="33" t="str">
        <f>STOCK_ACTUAL!C33</f>
        <v>Marca B</v>
      </c>
      <c r="C36" s="33" t="str">
        <f>STOCK_ACTUAL!D33</f>
        <v>Lubricantes</v>
      </c>
      <c r="D36" s="34">
        <f>_xlfn.XLOOKUP($A36,ROTACIÓN!$A$2:$A$101,ROTACIÓN!$B$2:$B$101)</f>
        <v>296</v>
      </c>
      <c r="E36" s="35" t="str">
        <f>_xlfn.XLOOKUP($A36,ROTACIÓN!$A$2:$A$101,ROTACIÓN!$C$2:$C$101)</f>
        <v>B</v>
      </c>
      <c r="F36" s="33" t="str">
        <f>STOCK_ACTUAL!E33</f>
        <v>2. PISO</v>
      </c>
      <c r="G36" s="36">
        <f>_xlfn.XLOOKUP($F36,LAYOUT_CD!$A$2:$A$10,LAYOUT_CD!$C$2:$C$10)</f>
        <v>1.6</v>
      </c>
      <c r="H36" s="34">
        <f>_xlfn.XLOOKUP($F36,LAYOUT_CD!$A$2:$A$10,LAYOUT_CD!$B$2:$B$10)</f>
        <v>10</v>
      </c>
      <c r="I36" s="37">
        <f>STOCK_ACTUAL!F33</f>
        <v>0.12673585565928119</v>
      </c>
      <c r="J36" s="38">
        <f>STOCK_ACTUAL!G33</f>
        <v>11.494336618301149</v>
      </c>
      <c r="K36" s="34">
        <f t="shared" si="0"/>
        <v>473.6</v>
      </c>
      <c r="L36" s="35" t="str">
        <f t="shared" si="1"/>
        <v>NO</v>
      </c>
      <c r="M36" s="39" t="str">
        <f t="shared" si="2"/>
        <v>NO</v>
      </c>
      <c r="P36" s="32" t="str" cm="1">
        <f t="array" ref="P36">INDEX($A$5:$A$104,MATCH(LARGE($D$5:$D$104-ROW($D$5:$D$104)/100000,ROW()-31),$D$5:$D$104-ROW($D$5:$D$104)/100000,0))</f>
        <v>SKU00005</v>
      </c>
      <c r="Q36" s="34">
        <f t="shared" si="15"/>
        <v>465</v>
      </c>
      <c r="R36" s="57">
        <f>SUM($Q$32:$Q36)/$S$8</f>
        <v>8.0866062437059419E-2</v>
      </c>
      <c r="S36" s="33" t="str">
        <f t="shared" si="16"/>
        <v>2. PISO</v>
      </c>
      <c r="T36" s="74">
        <f t="shared" si="17"/>
        <v>1.6</v>
      </c>
    </row>
    <row r="37" spans="1:20" x14ac:dyDescent="0.35">
      <c r="A37" s="32" t="str">
        <f>STOCK_ACTUAL!B34</f>
        <v>SKU00033</v>
      </c>
      <c r="B37" s="33" t="str">
        <f>STOCK_ACTUAL!C34</f>
        <v>Marca C</v>
      </c>
      <c r="C37" s="33" t="str">
        <f>STOCK_ACTUAL!D34</f>
        <v>Pastillas</v>
      </c>
      <c r="D37" s="34">
        <f>_xlfn.XLOOKUP($A37,ROTACIÓN!$A$2:$A$101,ROTACIÓN!$B$2:$B$101)</f>
        <v>201</v>
      </c>
      <c r="E37" s="35" t="str">
        <f>_xlfn.XLOOKUP($A37,ROTACIÓN!$A$2:$A$101,ROTACIÓN!$C$2:$C$101)</f>
        <v>C</v>
      </c>
      <c r="F37" s="33" t="str">
        <f>STOCK_ACTUAL!E34</f>
        <v>2. PISO</v>
      </c>
      <c r="G37" s="36">
        <f>_xlfn.XLOOKUP($F37,LAYOUT_CD!$A$2:$A$10,LAYOUT_CD!$C$2:$C$10)</f>
        <v>1.6</v>
      </c>
      <c r="H37" s="34">
        <f>_xlfn.XLOOKUP($F37,LAYOUT_CD!$A$2:$A$10,LAYOUT_CD!$B$2:$B$10)</f>
        <v>10</v>
      </c>
      <c r="I37" s="37">
        <f>STOCK_ACTUAL!F34</f>
        <v>7.9273216843375793E-2</v>
      </c>
      <c r="J37" s="38">
        <f>STOCK_ACTUAL!G34</f>
        <v>6.4333356830172992</v>
      </c>
      <c r="K37" s="34">
        <f t="shared" si="0"/>
        <v>321.60000000000002</v>
      </c>
      <c r="L37" s="35" t="str">
        <f t="shared" si="1"/>
        <v>NO</v>
      </c>
      <c r="M37" s="39" t="str">
        <f t="shared" si="2"/>
        <v>NO</v>
      </c>
      <c r="P37" s="32" t="str" cm="1">
        <f t="array" ref="P37">INDEX($A$5:$A$104,MATCH(LARGE($D$5:$D$104-ROW($D$5:$D$104)/100000,ROW()-31),$D$5:$D$104-ROW($D$5:$D$104)/100000,0))</f>
        <v>SKU00100</v>
      </c>
      <c r="Q37" s="34">
        <f t="shared" si="15"/>
        <v>460</v>
      </c>
      <c r="R37" s="57">
        <f>SUM($Q$32:$Q37)/$S$8</f>
        <v>9.6307485733467604E-2</v>
      </c>
      <c r="S37" s="33" t="str">
        <f t="shared" si="16"/>
        <v>2. PISO</v>
      </c>
      <c r="T37" s="74">
        <f t="shared" si="17"/>
        <v>1.6</v>
      </c>
    </row>
    <row r="38" spans="1:20" x14ac:dyDescent="0.35">
      <c r="A38" s="32" t="str">
        <f>STOCK_ACTUAL!B35</f>
        <v>SKU00034</v>
      </c>
      <c r="B38" s="33" t="str">
        <f>STOCK_ACTUAL!C35</f>
        <v>Marca D</v>
      </c>
      <c r="C38" s="33" t="str">
        <f>STOCK_ACTUAL!D35</f>
        <v>Correas</v>
      </c>
      <c r="D38" s="34">
        <f>_xlfn.XLOOKUP($A38,ROTACIÓN!$A$2:$A$101,ROTACIÓN!$B$2:$B$101)</f>
        <v>431</v>
      </c>
      <c r="E38" s="35" t="str">
        <f>_xlfn.XLOOKUP($A38,ROTACIÓN!$A$2:$A$101,ROTACIÓN!$C$2:$C$101)</f>
        <v>A</v>
      </c>
      <c r="F38" s="33" t="str">
        <f>STOCK_ACTUAL!E35</f>
        <v>7. MEZANNINE</v>
      </c>
      <c r="G38" s="36">
        <f>_xlfn.XLOOKUP($F38,LAYOUT_CD!$A$2:$A$10,LAYOUT_CD!$C$2:$C$10)</f>
        <v>6.42</v>
      </c>
      <c r="H38" s="34">
        <f>_xlfn.XLOOKUP($F38,LAYOUT_CD!$A$2:$A$10,LAYOUT_CD!$B$2:$B$10)</f>
        <v>80</v>
      </c>
      <c r="I38" s="37">
        <f>STOCK_ACTUAL!F35</f>
        <v>0.47699849176399989</v>
      </c>
      <c r="J38" s="38">
        <f>STOCK_ACTUAL!G35</f>
        <v>17.211950984479579</v>
      </c>
      <c r="K38" s="34">
        <f t="shared" si="0"/>
        <v>2767.02</v>
      </c>
      <c r="L38" s="35" t="str">
        <f t="shared" si="1"/>
        <v>SÍ</v>
      </c>
      <c r="M38" s="39" t="str">
        <f t="shared" si="2"/>
        <v>SÍ</v>
      </c>
      <c r="P38" s="32" t="str" cm="1">
        <f t="array" ref="P38">INDEX($A$5:$A$104,MATCH(LARGE($D$5:$D$104-ROW($D$5:$D$104)/100000,ROW()-31),$D$5:$D$104-ROW($D$5:$D$104)/100000,0))</f>
        <v>SKU00062</v>
      </c>
      <c r="Q38" s="34">
        <f t="shared" si="15"/>
        <v>453</v>
      </c>
      <c r="R38" s="57">
        <f>SUM($Q$32:$Q38)/$S$8</f>
        <v>0.11151393084927828</v>
      </c>
      <c r="S38" s="33" t="str">
        <f t="shared" si="16"/>
        <v>2. PISO</v>
      </c>
      <c r="T38" s="74">
        <f t="shared" si="17"/>
        <v>1.6</v>
      </c>
    </row>
    <row r="39" spans="1:20" x14ac:dyDescent="0.35">
      <c r="A39" s="32" t="str">
        <f>STOCK_ACTUAL!B36</f>
        <v>SKU00035</v>
      </c>
      <c r="B39" s="33" t="str">
        <f>STOCK_ACTUAL!C36</f>
        <v>Marca E</v>
      </c>
      <c r="C39" s="33" t="str">
        <f>STOCK_ACTUAL!D36</f>
        <v>Soportes</v>
      </c>
      <c r="D39" s="34">
        <f>_xlfn.XLOOKUP($A39,ROTACIÓN!$A$2:$A$101,ROTACIÓN!$B$2:$B$101)</f>
        <v>448</v>
      </c>
      <c r="E39" s="35" t="str">
        <f>_xlfn.XLOOKUP($A39,ROTACIÓN!$A$2:$A$101,ROTACIÓN!$C$2:$C$101)</f>
        <v>A</v>
      </c>
      <c r="F39" s="33" t="str">
        <f>STOCK_ACTUAL!E36</f>
        <v>5. RACK SIMPLE</v>
      </c>
      <c r="G39" s="36">
        <f>_xlfn.XLOOKUP($F39,LAYOUT_CD!$A$2:$A$10,LAYOUT_CD!$C$2:$C$10)</f>
        <v>5.63</v>
      </c>
      <c r="H39" s="34">
        <f>_xlfn.XLOOKUP($F39,LAYOUT_CD!$A$2:$A$10,LAYOUT_CD!$B$2:$B$10)</f>
        <v>65</v>
      </c>
      <c r="I39" s="37">
        <f>STOCK_ACTUAL!F36</f>
        <v>0.4845344148835517</v>
      </c>
      <c r="J39" s="38">
        <f>STOCK_ACTUAL!G36</f>
        <v>47.174030343669699</v>
      </c>
      <c r="K39" s="34">
        <f t="shared" si="0"/>
        <v>2522.2399999999998</v>
      </c>
      <c r="L39" s="35" t="str">
        <f t="shared" si="1"/>
        <v>SÍ</v>
      </c>
      <c r="M39" s="39" t="str">
        <f t="shared" si="2"/>
        <v>SÍ</v>
      </c>
      <c r="P39" s="32" t="str" cm="1">
        <f t="array" ref="P39">INDEX($A$5:$A$104,MATCH(LARGE($D$5:$D$104-ROW($D$5:$D$104)/100000,ROW()-31),$D$5:$D$104-ROW($D$5:$D$104)/100000,0))</f>
        <v>SKU00054</v>
      </c>
      <c r="Q39" s="34">
        <f t="shared" si="15"/>
        <v>452</v>
      </c>
      <c r="R39" s="57">
        <f>SUM($Q$32:$Q39)/$S$8</f>
        <v>0.12668680765357501</v>
      </c>
      <c r="S39" s="33" t="str">
        <f t="shared" si="16"/>
        <v>5. RACK SIMPLE</v>
      </c>
      <c r="T39" s="74">
        <f t="shared" si="17"/>
        <v>5.63</v>
      </c>
    </row>
    <row r="40" spans="1:20" x14ac:dyDescent="0.35">
      <c r="A40" s="32" t="str">
        <f>STOCK_ACTUAL!B37</f>
        <v>SKU00036</v>
      </c>
      <c r="B40" s="33" t="str">
        <f>STOCK_ACTUAL!C37</f>
        <v>Marca A</v>
      </c>
      <c r="C40" s="33" t="str">
        <f>STOCK_ACTUAL!D37</f>
        <v>Filtros</v>
      </c>
      <c r="D40" s="34">
        <f>_xlfn.XLOOKUP($A40,ROTACIÓN!$A$2:$A$101,ROTACIÓN!$B$2:$B$101)</f>
        <v>338</v>
      </c>
      <c r="E40" s="35" t="str">
        <f>_xlfn.XLOOKUP($A40,ROTACIÓN!$A$2:$A$101,ROTACIÓN!$C$2:$C$101)</f>
        <v>B</v>
      </c>
      <c r="F40" s="33" t="str">
        <f>STOCK_ACTUAL!E37</f>
        <v>8. CLUSTER</v>
      </c>
      <c r="G40" s="36">
        <f>_xlfn.XLOOKUP($F40,LAYOUT_CD!$A$2:$A$10,LAYOUT_CD!$C$2:$C$10)</f>
        <v>4.01</v>
      </c>
      <c r="H40" s="34">
        <f>_xlfn.XLOOKUP($F40,LAYOUT_CD!$A$2:$A$10,LAYOUT_CD!$B$2:$B$10)</f>
        <v>50</v>
      </c>
      <c r="I40" s="37">
        <f>STOCK_ACTUAL!F37</f>
        <v>0.41377880665240752</v>
      </c>
      <c r="J40" s="38">
        <f>STOCK_ACTUAL!G37</f>
        <v>16.498545135027381</v>
      </c>
      <c r="K40" s="34">
        <f t="shared" si="0"/>
        <v>1355.3799999999999</v>
      </c>
      <c r="L40" s="35" t="str">
        <f t="shared" si="1"/>
        <v>SÍ</v>
      </c>
      <c r="M40" s="39" t="str">
        <f t="shared" si="2"/>
        <v>NO</v>
      </c>
      <c r="P40" s="32" t="str" cm="1">
        <f t="array" ref="P40">INDEX($A$5:$A$104,MATCH(LARGE($D$5:$D$104-ROW($D$5:$D$104)/100000,ROW()-31),$D$5:$D$104-ROW($D$5:$D$104)/100000,0))</f>
        <v>SKU00018</v>
      </c>
      <c r="Q40" s="34">
        <f t="shared" si="15"/>
        <v>451</v>
      </c>
      <c r="R40" s="57">
        <f>SUM($Q$32:$Q40)/$S$8</f>
        <v>0.14182611614635784</v>
      </c>
      <c r="S40" s="33" t="str">
        <f t="shared" si="16"/>
        <v>2. PISO</v>
      </c>
      <c r="T40" s="74">
        <f t="shared" si="17"/>
        <v>1.6</v>
      </c>
    </row>
    <row r="41" spans="1:20" x14ac:dyDescent="0.35">
      <c r="A41" s="32" t="str">
        <f>STOCK_ACTUAL!B38</f>
        <v>SKU00037</v>
      </c>
      <c r="B41" s="33" t="str">
        <f>STOCK_ACTUAL!C38</f>
        <v>Marca B</v>
      </c>
      <c r="C41" s="33" t="str">
        <f>STOCK_ACTUAL!D38</f>
        <v>Lubricantes</v>
      </c>
      <c r="D41" s="34">
        <f>_xlfn.XLOOKUP($A41,ROTACIÓN!$A$2:$A$101,ROTACIÓN!$B$2:$B$101)</f>
        <v>294</v>
      </c>
      <c r="E41" s="35" t="str">
        <f>_xlfn.XLOOKUP($A41,ROTACIÓN!$A$2:$A$101,ROTACIÓN!$C$2:$C$101)</f>
        <v>B</v>
      </c>
      <c r="F41" s="33" t="str">
        <f>STOCK_ACTUAL!E38</f>
        <v>7. MEZANNINE</v>
      </c>
      <c r="G41" s="36">
        <f>_xlfn.XLOOKUP($F41,LAYOUT_CD!$A$2:$A$10,LAYOUT_CD!$C$2:$C$10)</f>
        <v>6.42</v>
      </c>
      <c r="H41" s="34">
        <f>_xlfn.XLOOKUP($F41,LAYOUT_CD!$A$2:$A$10,LAYOUT_CD!$B$2:$B$10)</f>
        <v>80</v>
      </c>
      <c r="I41" s="37">
        <f>STOCK_ACTUAL!F38</f>
        <v>0.18707619612801679</v>
      </c>
      <c r="J41" s="38">
        <f>STOCK_ACTUAL!G38</f>
        <v>26.18013577629662</v>
      </c>
      <c r="K41" s="34">
        <f t="shared" si="0"/>
        <v>1887.48</v>
      </c>
      <c r="L41" s="35" t="str">
        <f t="shared" si="1"/>
        <v>SÍ</v>
      </c>
      <c r="M41" s="39" t="str">
        <f t="shared" si="2"/>
        <v>NO</v>
      </c>
      <c r="P41" s="32" t="str" cm="1">
        <f t="array" ref="P41">INDEX($A$5:$A$104,MATCH(LARGE($D$5:$D$104-ROW($D$5:$D$104)/100000,ROW()-31),$D$5:$D$104-ROW($D$5:$D$104)/100000,0))</f>
        <v>SKU00030</v>
      </c>
      <c r="Q41" s="34">
        <f t="shared" si="15"/>
        <v>450</v>
      </c>
      <c r="R41" s="57">
        <f>SUM($Q$32:$Q41)/$S$8</f>
        <v>0.15693185632762671</v>
      </c>
      <c r="S41" s="33" t="str">
        <f t="shared" si="16"/>
        <v>2. PISO</v>
      </c>
      <c r="T41" s="74">
        <f t="shared" si="17"/>
        <v>1.6</v>
      </c>
    </row>
    <row r="42" spans="1:20" x14ac:dyDescent="0.35">
      <c r="A42" s="32" t="str">
        <f>STOCK_ACTUAL!B39</f>
        <v>SKU00038</v>
      </c>
      <c r="B42" s="33" t="str">
        <f>STOCK_ACTUAL!C39</f>
        <v>Marca C</v>
      </c>
      <c r="C42" s="33" t="str">
        <f>STOCK_ACTUAL!D39</f>
        <v>Pastillas</v>
      </c>
      <c r="D42" s="34">
        <f>_xlfn.XLOOKUP($A42,ROTACIÓN!$A$2:$A$101,ROTACIÓN!$B$2:$B$101)</f>
        <v>74</v>
      </c>
      <c r="E42" s="35" t="str">
        <f>_xlfn.XLOOKUP($A42,ROTACIÓN!$A$2:$A$101,ROTACIÓN!$C$2:$C$101)</f>
        <v>C</v>
      </c>
      <c r="F42" s="33" t="str">
        <f>STOCK_ACTUAL!E39</f>
        <v>6. RACK COLGANTES</v>
      </c>
      <c r="G42" s="36">
        <f>_xlfn.XLOOKUP($F42,LAYOUT_CD!$A$2:$A$10,LAYOUT_CD!$C$2:$C$10)</f>
        <v>3.61</v>
      </c>
      <c r="H42" s="34">
        <f>_xlfn.XLOOKUP($F42,LAYOUT_CD!$A$2:$A$10,LAYOUT_CD!$B$2:$B$10)</f>
        <v>45</v>
      </c>
      <c r="I42" s="37">
        <f>STOCK_ACTUAL!F39</f>
        <v>9.3952451302872747E-2</v>
      </c>
      <c r="J42" s="38">
        <f>STOCK_ACTUAL!G39</f>
        <v>35.299438465311297</v>
      </c>
      <c r="K42" s="34">
        <f t="shared" si="0"/>
        <v>267.14</v>
      </c>
      <c r="L42" s="35" t="str">
        <f t="shared" si="1"/>
        <v>NO</v>
      </c>
      <c r="M42" s="39" t="str">
        <f t="shared" si="2"/>
        <v>NO</v>
      </c>
      <c r="P42" s="32" t="str" cm="1">
        <f t="array" ref="P42">INDEX($A$5:$A$104,MATCH(LARGE($D$5:$D$104-ROW($D$5:$D$104)/100000,ROW()-31),$D$5:$D$104-ROW($D$5:$D$104)/100000,0))</f>
        <v>SKU00035</v>
      </c>
      <c r="Q42" s="34">
        <f t="shared" si="15"/>
        <v>448</v>
      </c>
      <c r="R42" s="57">
        <f>SUM($Q$32:$Q42)/$S$8</f>
        <v>0.17197045988586773</v>
      </c>
      <c r="S42" s="33" t="str">
        <f t="shared" si="16"/>
        <v>5. RACK SIMPLE</v>
      </c>
      <c r="T42" s="74">
        <f t="shared" si="17"/>
        <v>5.63</v>
      </c>
    </row>
    <row r="43" spans="1:20" x14ac:dyDescent="0.35">
      <c r="A43" s="32" t="str">
        <f>STOCK_ACTUAL!B40</f>
        <v>SKU00039</v>
      </c>
      <c r="B43" s="33" t="str">
        <f>STOCK_ACTUAL!C40</f>
        <v>Marca D</v>
      </c>
      <c r="C43" s="33" t="str">
        <f>STOCK_ACTUAL!D40</f>
        <v>Correas</v>
      </c>
      <c r="D43" s="34">
        <f>_xlfn.XLOOKUP($A43,ROTACIÓN!$A$2:$A$101,ROTACIÓN!$B$2:$B$101)</f>
        <v>314</v>
      </c>
      <c r="E43" s="35" t="str">
        <f>_xlfn.XLOOKUP($A43,ROTACIÓN!$A$2:$A$101,ROTACIÓN!$C$2:$C$101)</f>
        <v>B</v>
      </c>
      <c r="F43" s="33" t="str">
        <f>STOCK_ACTUAL!E40</f>
        <v>5. RACK SIMPLE</v>
      </c>
      <c r="G43" s="36">
        <f>_xlfn.XLOOKUP($F43,LAYOUT_CD!$A$2:$A$10,LAYOUT_CD!$C$2:$C$10)</f>
        <v>5.63</v>
      </c>
      <c r="H43" s="34">
        <f>_xlfn.XLOOKUP($F43,LAYOUT_CD!$A$2:$A$10,LAYOUT_CD!$B$2:$B$10)</f>
        <v>65</v>
      </c>
      <c r="I43" s="37">
        <f>STOCK_ACTUAL!F40</f>
        <v>0.35790486193047061</v>
      </c>
      <c r="J43" s="38">
        <f>STOCK_ACTUAL!G40</f>
        <v>18.499665317775051</v>
      </c>
      <c r="K43" s="34">
        <f t="shared" si="0"/>
        <v>1767.82</v>
      </c>
      <c r="L43" s="35" t="str">
        <f t="shared" si="1"/>
        <v>SÍ</v>
      </c>
      <c r="M43" s="39" t="str">
        <f t="shared" si="2"/>
        <v>NO</v>
      </c>
      <c r="P43" s="32" t="str" cm="1">
        <f t="array" ref="P43">INDEX($A$5:$A$104,MATCH(LARGE($D$5:$D$104-ROW($D$5:$D$104)/100000,ROW()-31),$D$5:$D$104-ROW($D$5:$D$104)/100000,0))</f>
        <v>SKU00025</v>
      </c>
      <c r="Q43" s="34">
        <f t="shared" si="15"/>
        <v>439</v>
      </c>
      <c r="R43" s="57">
        <f>SUM($Q$32:$Q43)/$S$8</f>
        <v>0.18670694864048337</v>
      </c>
      <c r="S43" s="33" t="str">
        <f t="shared" si="16"/>
        <v>5. RACK SIMPLE</v>
      </c>
      <c r="T43" s="74">
        <f t="shared" si="17"/>
        <v>5.63</v>
      </c>
    </row>
    <row r="44" spans="1:20" x14ac:dyDescent="0.35">
      <c r="A44" s="32" t="str">
        <f>STOCK_ACTUAL!B41</f>
        <v>SKU00040</v>
      </c>
      <c r="B44" s="33" t="str">
        <f>STOCK_ACTUAL!C41</f>
        <v>Marca E</v>
      </c>
      <c r="C44" s="33" t="str">
        <f>STOCK_ACTUAL!D41</f>
        <v>Soportes</v>
      </c>
      <c r="D44" s="34">
        <f>_xlfn.XLOOKUP($A44,ROTACIÓN!$A$2:$A$101,ROTACIÓN!$B$2:$B$101)</f>
        <v>266</v>
      </c>
      <c r="E44" s="35" t="str">
        <f>_xlfn.XLOOKUP($A44,ROTACIÓN!$A$2:$A$101,ROTACIÓN!$C$2:$C$101)</f>
        <v>B</v>
      </c>
      <c r="F44" s="33" t="str">
        <f>STOCK_ACTUAL!E41</f>
        <v>2. PISO</v>
      </c>
      <c r="G44" s="36">
        <f>_xlfn.XLOOKUP($F44,LAYOUT_CD!$A$2:$A$10,LAYOUT_CD!$C$2:$C$10)</f>
        <v>1.6</v>
      </c>
      <c r="H44" s="34">
        <f>_xlfn.XLOOKUP($F44,LAYOUT_CD!$A$2:$A$10,LAYOUT_CD!$B$2:$B$10)</f>
        <v>10</v>
      </c>
      <c r="I44" s="37">
        <f>STOCK_ACTUAL!F41</f>
        <v>0.24806862218282061</v>
      </c>
      <c r="J44" s="38">
        <f>STOCK_ACTUAL!G41</f>
        <v>48.603213094687547</v>
      </c>
      <c r="K44" s="34">
        <f t="shared" si="0"/>
        <v>425.6</v>
      </c>
      <c r="L44" s="35" t="str">
        <f t="shared" si="1"/>
        <v>NO</v>
      </c>
      <c r="M44" s="39" t="str">
        <f t="shared" si="2"/>
        <v>NO</v>
      </c>
      <c r="P44" s="32" t="str" cm="1">
        <f t="array" ref="P44">INDEX($A$5:$A$104,MATCH(LARGE($D$5:$D$104-ROW($D$5:$D$104)/100000,ROW()-31),$D$5:$D$104-ROW($D$5:$D$104)/100000,0))</f>
        <v>SKU00084</v>
      </c>
      <c r="Q44" s="34">
        <f t="shared" si="15"/>
        <v>438</v>
      </c>
      <c r="R44" s="57">
        <f>SUM($Q$32:$Q44)/$S$8</f>
        <v>0.2014098690835851</v>
      </c>
      <c r="S44" s="33" t="str">
        <f t="shared" si="16"/>
        <v>7. MEZANNINE</v>
      </c>
      <c r="T44" s="74">
        <f t="shared" si="17"/>
        <v>6.42</v>
      </c>
    </row>
    <row r="45" spans="1:20" x14ac:dyDescent="0.35">
      <c r="A45" s="32" t="str">
        <f>STOCK_ACTUAL!B42</f>
        <v>SKU00041</v>
      </c>
      <c r="B45" s="33" t="str">
        <f>STOCK_ACTUAL!C42</f>
        <v>Marca A</v>
      </c>
      <c r="C45" s="33" t="str">
        <f>STOCK_ACTUAL!D42</f>
        <v>Filtros</v>
      </c>
      <c r="D45" s="34">
        <f>_xlfn.XLOOKUP($A45,ROTACIÓN!$A$2:$A$101,ROTACIÓN!$B$2:$B$101)</f>
        <v>265</v>
      </c>
      <c r="E45" s="35" t="str">
        <f>_xlfn.XLOOKUP($A45,ROTACIÓN!$A$2:$A$101,ROTACIÓN!$C$2:$C$101)</f>
        <v>B</v>
      </c>
      <c r="F45" s="33" t="str">
        <f>STOCK_ACTUAL!E42</f>
        <v>2. PISO</v>
      </c>
      <c r="G45" s="36">
        <f>_xlfn.XLOOKUP($F45,LAYOUT_CD!$A$2:$A$10,LAYOUT_CD!$C$2:$C$10)</f>
        <v>1.6</v>
      </c>
      <c r="H45" s="34">
        <f>_xlfn.XLOOKUP($F45,LAYOUT_CD!$A$2:$A$10,LAYOUT_CD!$B$2:$B$10)</f>
        <v>10</v>
      </c>
      <c r="I45" s="37">
        <f>STOCK_ACTUAL!F42</f>
        <v>0.1049172056801505</v>
      </c>
      <c r="J45" s="38">
        <f>STOCK_ACTUAL!G42</f>
        <v>48.141141099634503</v>
      </c>
      <c r="K45" s="34">
        <f t="shared" si="0"/>
        <v>424</v>
      </c>
      <c r="L45" s="35" t="str">
        <f t="shared" si="1"/>
        <v>NO</v>
      </c>
      <c r="M45" s="39" t="str">
        <f t="shared" si="2"/>
        <v>NO</v>
      </c>
      <c r="P45" s="32" t="str" cm="1">
        <f t="array" ref="P45">INDEX($A$5:$A$104,MATCH(LARGE($D$5:$D$104-ROW($D$5:$D$104)/100000,ROW()-31),$D$5:$D$104-ROW($D$5:$D$104)/100000,0))</f>
        <v>SKU00009</v>
      </c>
      <c r="Q45" s="34">
        <f t="shared" si="15"/>
        <v>432</v>
      </c>
      <c r="R45" s="57">
        <f>SUM($Q$32:$Q45)/$S$8</f>
        <v>0.21591137965760324</v>
      </c>
      <c r="S45" s="33" t="str">
        <f t="shared" si="16"/>
        <v>4. RACK BALDA</v>
      </c>
      <c r="T45" s="74">
        <f t="shared" si="17"/>
        <v>4.82</v>
      </c>
    </row>
    <row r="46" spans="1:20" x14ac:dyDescent="0.35">
      <c r="A46" s="32" t="str">
        <f>STOCK_ACTUAL!B43</f>
        <v>SKU00042</v>
      </c>
      <c r="B46" s="33" t="str">
        <f>STOCK_ACTUAL!C43</f>
        <v>Marca B</v>
      </c>
      <c r="C46" s="33" t="str">
        <f>STOCK_ACTUAL!D43</f>
        <v>Lubricantes</v>
      </c>
      <c r="D46" s="34">
        <f>_xlfn.XLOOKUP($A46,ROTACIÓN!$A$2:$A$101,ROTACIÓN!$B$2:$B$101)</f>
        <v>84</v>
      </c>
      <c r="E46" s="35" t="str">
        <f>_xlfn.XLOOKUP($A46,ROTACIÓN!$A$2:$A$101,ROTACIÓN!$C$2:$C$101)</f>
        <v>C</v>
      </c>
      <c r="F46" s="33" t="str">
        <f>STOCK_ACTUAL!E43</f>
        <v>2. PISO</v>
      </c>
      <c r="G46" s="36">
        <f>_xlfn.XLOOKUP($F46,LAYOUT_CD!$A$2:$A$10,LAYOUT_CD!$C$2:$C$10)</f>
        <v>1.6</v>
      </c>
      <c r="H46" s="34">
        <f>_xlfn.XLOOKUP($F46,LAYOUT_CD!$A$2:$A$10,LAYOUT_CD!$B$2:$B$10)</f>
        <v>10</v>
      </c>
      <c r="I46" s="37">
        <f>STOCK_ACTUAL!F43</f>
        <v>0.27282960955007157</v>
      </c>
      <c r="J46" s="38">
        <f>STOCK_ACTUAL!G43</f>
        <v>12.96322364335553</v>
      </c>
      <c r="K46" s="34">
        <f t="shared" si="0"/>
        <v>134.4</v>
      </c>
      <c r="L46" s="35" t="str">
        <f t="shared" si="1"/>
        <v>NO</v>
      </c>
      <c r="M46" s="39" t="str">
        <f t="shared" si="2"/>
        <v>NO</v>
      </c>
      <c r="P46" s="32" t="str" cm="1">
        <f t="array" ref="P46">INDEX($A$5:$A$104,MATCH(LARGE($D$5:$D$104-ROW($D$5:$D$104)/100000,ROW()-31),$D$5:$D$104-ROW($D$5:$D$104)/100000,0))</f>
        <v>SKU00034</v>
      </c>
      <c r="Q46" s="34">
        <f t="shared" si="15"/>
        <v>431</v>
      </c>
      <c r="R46" s="57">
        <f>SUM($Q$32:$Q46)/$S$8</f>
        <v>0.2303793219201074</v>
      </c>
      <c r="S46" s="33" t="str">
        <f t="shared" si="16"/>
        <v>7. MEZANNINE</v>
      </c>
      <c r="T46" s="74">
        <f t="shared" si="17"/>
        <v>6.42</v>
      </c>
    </row>
    <row r="47" spans="1:20" x14ac:dyDescent="0.35">
      <c r="A47" s="32" t="str">
        <f>STOCK_ACTUAL!B44</f>
        <v>SKU00043</v>
      </c>
      <c r="B47" s="33" t="str">
        <f>STOCK_ACTUAL!C44</f>
        <v>Marca C</v>
      </c>
      <c r="C47" s="33" t="str">
        <f>STOCK_ACTUAL!D44</f>
        <v>Pastillas</v>
      </c>
      <c r="D47" s="34">
        <f>_xlfn.XLOOKUP($A47,ROTACIÓN!$A$2:$A$101,ROTACIÓN!$B$2:$B$101)</f>
        <v>340</v>
      </c>
      <c r="E47" s="35" t="str">
        <f>_xlfn.XLOOKUP($A47,ROTACIÓN!$A$2:$A$101,ROTACIÓN!$C$2:$C$101)</f>
        <v>B</v>
      </c>
      <c r="F47" s="33" t="str">
        <f>STOCK_ACTUAL!E44</f>
        <v>7. MEZANNINE</v>
      </c>
      <c r="G47" s="36">
        <f>_xlfn.XLOOKUP($F47,LAYOUT_CD!$A$2:$A$10,LAYOUT_CD!$C$2:$C$10)</f>
        <v>6.42</v>
      </c>
      <c r="H47" s="34">
        <f>_xlfn.XLOOKUP($F47,LAYOUT_CD!$A$2:$A$10,LAYOUT_CD!$B$2:$B$10)</f>
        <v>80</v>
      </c>
      <c r="I47" s="37">
        <f>STOCK_ACTUAL!F44</f>
        <v>6.5474834501848281E-2</v>
      </c>
      <c r="J47" s="38">
        <f>STOCK_ACTUAL!G44</f>
        <v>25.113801041673081</v>
      </c>
      <c r="K47" s="34">
        <f t="shared" si="0"/>
        <v>2182.8000000000002</v>
      </c>
      <c r="L47" s="35" t="str">
        <f t="shared" si="1"/>
        <v>SÍ</v>
      </c>
      <c r="M47" s="39" t="str">
        <f t="shared" si="2"/>
        <v>NO</v>
      </c>
      <c r="P47" s="32" t="str" cm="1">
        <f t="array" ref="P47">INDEX($A$5:$A$104,MATCH(LARGE($D$5:$D$104-ROW($D$5:$D$104)/100000,ROW()-31),$D$5:$D$104-ROW($D$5:$D$104)/100000,0))</f>
        <v>SKU00045</v>
      </c>
      <c r="Q47" s="34">
        <f t="shared" si="15"/>
        <v>426</v>
      </c>
      <c r="R47" s="57">
        <f>SUM($Q$32:$Q47)/$S$8</f>
        <v>0.24467942262504197</v>
      </c>
      <c r="S47" s="33" t="str">
        <f t="shared" si="16"/>
        <v>10. UBICACIÓN RECIBO</v>
      </c>
      <c r="T47" s="74">
        <f t="shared" si="17"/>
        <v>2.0099999999999998</v>
      </c>
    </row>
    <row r="48" spans="1:20" x14ac:dyDescent="0.35">
      <c r="A48" s="32" t="str">
        <f>STOCK_ACTUAL!B45</f>
        <v>SKU00044</v>
      </c>
      <c r="B48" s="33" t="str">
        <f>STOCK_ACTUAL!C45</f>
        <v>Marca D</v>
      </c>
      <c r="C48" s="33" t="str">
        <f>STOCK_ACTUAL!D45</f>
        <v>Correas</v>
      </c>
      <c r="D48" s="34">
        <f>_xlfn.XLOOKUP($A48,ROTACIÓN!$A$2:$A$101,ROTACIÓN!$B$2:$B$101)</f>
        <v>425</v>
      </c>
      <c r="E48" s="35" t="str">
        <f>_xlfn.XLOOKUP($A48,ROTACIÓN!$A$2:$A$101,ROTACIÓN!$C$2:$C$101)</f>
        <v>A</v>
      </c>
      <c r="F48" s="33" t="str">
        <f>STOCK_ACTUAL!E45</f>
        <v>5. RACK SIMPLE</v>
      </c>
      <c r="G48" s="36">
        <f>_xlfn.XLOOKUP($F48,LAYOUT_CD!$A$2:$A$10,LAYOUT_CD!$C$2:$C$10)</f>
        <v>5.63</v>
      </c>
      <c r="H48" s="34">
        <f>_xlfn.XLOOKUP($F48,LAYOUT_CD!$A$2:$A$10,LAYOUT_CD!$B$2:$B$10)</f>
        <v>65</v>
      </c>
      <c r="I48" s="37">
        <f>STOCK_ACTUAL!F45</f>
        <v>0.45919418093545189</v>
      </c>
      <c r="J48" s="38">
        <f>STOCK_ACTUAL!G45</f>
        <v>15.393476335930099</v>
      </c>
      <c r="K48" s="34">
        <f t="shared" si="0"/>
        <v>2392.75</v>
      </c>
      <c r="L48" s="35" t="str">
        <f t="shared" si="1"/>
        <v>SÍ</v>
      </c>
      <c r="M48" s="39" t="str">
        <f t="shared" si="2"/>
        <v>SÍ</v>
      </c>
      <c r="P48" s="32" t="str" cm="1">
        <f t="array" ref="P48">INDEX($A$5:$A$104,MATCH(LARGE($D$5:$D$104-ROW($D$5:$D$104)/100000,ROW()-31),$D$5:$D$104-ROW($D$5:$D$104)/100000,0))</f>
        <v>SKU00059</v>
      </c>
      <c r="Q48" s="34">
        <f t="shared" si="15"/>
        <v>426</v>
      </c>
      <c r="R48" s="57">
        <f>SUM($Q$32:$Q48)/$S$8</f>
        <v>0.25897952332997648</v>
      </c>
      <c r="S48" s="33" t="str">
        <f t="shared" si="16"/>
        <v>2. PISO</v>
      </c>
      <c r="T48" s="74">
        <f t="shared" si="17"/>
        <v>1.6</v>
      </c>
    </row>
    <row r="49" spans="1:23" x14ac:dyDescent="0.35">
      <c r="A49" s="32" t="str">
        <f>STOCK_ACTUAL!B46</f>
        <v>SKU00045</v>
      </c>
      <c r="B49" s="33" t="str">
        <f>STOCK_ACTUAL!C46</f>
        <v>Marca E</v>
      </c>
      <c r="C49" s="33" t="str">
        <f>STOCK_ACTUAL!D46</f>
        <v>Soportes</v>
      </c>
      <c r="D49" s="34">
        <f>_xlfn.XLOOKUP($A49,ROTACIÓN!$A$2:$A$101,ROTACIÓN!$B$2:$B$101)</f>
        <v>426</v>
      </c>
      <c r="E49" s="35" t="str">
        <f>_xlfn.XLOOKUP($A49,ROTACIÓN!$A$2:$A$101,ROTACIÓN!$C$2:$C$101)</f>
        <v>A</v>
      </c>
      <c r="F49" s="33" t="str">
        <f>STOCK_ACTUAL!E46</f>
        <v>10. UBICACIÓN RECIBO</v>
      </c>
      <c r="G49" s="36">
        <f>_xlfn.XLOOKUP($F49,LAYOUT_CD!$A$2:$A$10,LAYOUT_CD!$C$2:$C$10)</f>
        <v>2.0099999999999998</v>
      </c>
      <c r="H49" s="34">
        <f>_xlfn.XLOOKUP($F49,LAYOUT_CD!$A$2:$A$10,LAYOUT_CD!$B$2:$B$10)</f>
        <v>15</v>
      </c>
      <c r="I49" s="37">
        <f>STOCK_ACTUAL!F46</f>
        <v>0.1664509917200076</v>
      </c>
      <c r="J49" s="38">
        <f>STOCK_ACTUAL!G46</f>
        <v>14.59960447168465</v>
      </c>
      <c r="K49" s="34">
        <f t="shared" si="0"/>
        <v>856.25999999999988</v>
      </c>
      <c r="L49" s="35" t="str">
        <f t="shared" si="1"/>
        <v>NO</v>
      </c>
      <c r="M49" s="39" t="str">
        <f t="shared" si="2"/>
        <v>NO</v>
      </c>
      <c r="P49" s="32" t="str" cm="1">
        <f t="array" ref="P49">INDEX($A$5:$A$104,MATCH(LARGE($D$5:$D$104-ROW($D$5:$D$104)/100000,ROW()-31),$D$5:$D$104-ROW($D$5:$D$104)/100000,0))</f>
        <v>SKU00044</v>
      </c>
      <c r="Q49" s="34">
        <f t="shared" si="15"/>
        <v>425</v>
      </c>
      <c r="R49" s="57">
        <f>SUM($Q$32:$Q49)/$S$8</f>
        <v>0.27324605572339711</v>
      </c>
      <c r="S49" s="33" t="str">
        <f t="shared" si="16"/>
        <v>5. RACK SIMPLE</v>
      </c>
      <c r="T49" s="74">
        <f t="shared" si="17"/>
        <v>5.63</v>
      </c>
    </row>
    <row r="50" spans="1:23" x14ac:dyDescent="0.35">
      <c r="A50" s="32" t="str">
        <f>STOCK_ACTUAL!B47</f>
        <v>SKU00046</v>
      </c>
      <c r="B50" s="33" t="str">
        <f>STOCK_ACTUAL!C47</f>
        <v>Marca A</v>
      </c>
      <c r="C50" s="33" t="str">
        <f>STOCK_ACTUAL!D47</f>
        <v>Filtros</v>
      </c>
      <c r="D50" s="34">
        <f>_xlfn.XLOOKUP($A50,ROTACIÓN!$A$2:$A$101,ROTACIÓN!$B$2:$B$101)</f>
        <v>300</v>
      </c>
      <c r="E50" s="35" t="str">
        <f>_xlfn.XLOOKUP($A50,ROTACIÓN!$A$2:$A$101,ROTACIÓN!$C$2:$C$101)</f>
        <v>B</v>
      </c>
      <c r="F50" s="33" t="str">
        <f>STOCK_ACTUAL!E47</f>
        <v>7. MEZANNINE</v>
      </c>
      <c r="G50" s="36">
        <f>_xlfn.XLOOKUP($F50,LAYOUT_CD!$A$2:$A$10,LAYOUT_CD!$C$2:$C$10)</f>
        <v>6.42</v>
      </c>
      <c r="H50" s="34">
        <f>_xlfn.XLOOKUP($F50,LAYOUT_CD!$A$2:$A$10,LAYOUT_CD!$B$2:$B$10)</f>
        <v>80</v>
      </c>
      <c r="I50" s="37">
        <f>STOCK_ACTUAL!F47</f>
        <v>0.34813502795929191</v>
      </c>
      <c r="J50" s="38">
        <f>STOCK_ACTUAL!G47</f>
        <v>2.325903894049373</v>
      </c>
      <c r="K50" s="34">
        <f t="shared" si="0"/>
        <v>1926</v>
      </c>
      <c r="L50" s="35" t="str">
        <f t="shared" si="1"/>
        <v>SÍ</v>
      </c>
      <c r="M50" s="39" t="str">
        <f t="shared" si="2"/>
        <v>NO</v>
      </c>
      <c r="P50" s="32" t="str" cm="1">
        <f t="array" ref="P50">INDEX($A$5:$A$104,MATCH(LARGE($D$5:$D$104-ROW($D$5:$D$104)/100000,ROW()-31),$D$5:$D$104-ROW($D$5:$D$104)/100000,0))</f>
        <v>SKU00051</v>
      </c>
      <c r="Q50" s="34">
        <f t="shared" si="15"/>
        <v>423</v>
      </c>
      <c r="R50" s="57">
        <f>SUM($Q$32:$Q50)/$S$8</f>
        <v>0.28744545149378986</v>
      </c>
      <c r="S50" s="33" t="str">
        <f t="shared" si="16"/>
        <v>4. RACK BALDA</v>
      </c>
      <c r="T50" s="74">
        <f t="shared" si="17"/>
        <v>4.82</v>
      </c>
    </row>
    <row r="51" spans="1:23" x14ac:dyDescent="0.35">
      <c r="A51" s="32" t="str">
        <f>STOCK_ACTUAL!B48</f>
        <v>SKU00047</v>
      </c>
      <c r="B51" s="33" t="str">
        <f>STOCK_ACTUAL!C48</f>
        <v>Marca B</v>
      </c>
      <c r="C51" s="33" t="str">
        <f>STOCK_ACTUAL!D48</f>
        <v>Lubricantes</v>
      </c>
      <c r="D51" s="34">
        <f>_xlfn.XLOOKUP($A51,ROTACIÓN!$A$2:$A$101,ROTACIÓN!$B$2:$B$101)</f>
        <v>406</v>
      </c>
      <c r="E51" s="35" t="str">
        <f>_xlfn.XLOOKUP($A51,ROTACIÓN!$A$2:$A$101,ROTACIÓN!$C$2:$C$101)</f>
        <v>A</v>
      </c>
      <c r="F51" s="33" t="str">
        <f>STOCK_ACTUAL!E48</f>
        <v>10. UBICACIÓN RECIBO</v>
      </c>
      <c r="G51" s="36">
        <f>_xlfn.XLOOKUP($F51,LAYOUT_CD!$A$2:$A$10,LAYOUT_CD!$C$2:$C$10)</f>
        <v>2.0099999999999998</v>
      </c>
      <c r="H51" s="34">
        <f>_xlfn.XLOOKUP($F51,LAYOUT_CD!$A$2:$A$10,LAYOUT_CD!$B$2:$B$10)</f>
        <v>15</v>
      </c>
      <c r="I51" s="37">
        <f>STOCK_ACTUAL!F48</f>
        <v>0.19026998424023489</v>
      </c>
      <c r="J51" s="38">
        <f>STOCK_ACTUAL!G48</f>
        <v>30.67343453200489</v>
      </c>
      <c r="K51" s="34">
        <f t="shared" si="0"/>
        <v>816.06</v>
      </c>
      <c r="L51" s="35" t="str">
        <f t="shared" si="1"/>
        <v>NO</v>
      </c>
      <c r="M51" s="39" t="str">
        <f t="shared" si="2"/>
        <v>NO</v>
      </c>
      <c r="P51" s="64" t="str" cm="1">
        <f t="array" ref="P51">INDEX($A$5:$A$104,MATCH(LARGE($D$5:$D$104-ROW($D$5:$D$104)/100000,ROW()-31),$D$5:$D$104-ROW($D$5:$D$104)/100000,0))</f>
        <v>SKU00001</v>
      </c>
      <c r="Q51" s="66">
        <f t="shared" si="15"/>
        <v>422</v>
      </c>
      <c r="R51" s="75">
        <f>SUM($Q$32:$Q51)/$S$8</f>
        <v>0.3016112789526687</v>
      </c>
      <c r="S51" s="70" t="str">
        <f t="shared" si="16"/>
        <v>2. PISO</v>
      </c>
      <c r="T51" s="76">
        <f t="shared" si="17"/>
        <v>1.6</v>
      </c>
    </row>
    <row r="52" spans="1:23" x14ac:dyDescent="0.35">
      <c r="A52" s="32" t="str">
        <f>STOCK_ACTUAL!B49</f>
        <v>SKU00048</v>
      </c>
      <c r="B52" s="33" t="str">
        <f>STOCK_ACTUAL!C49</f>
        <v>Marca C</v>
      </c>
      <c r="C52" s="33" t="str">
        <f>STOCK_ACTUAL!D49</f>
        <v>Pastillas</v>
      </c>
      <c r="D52" s="34">
        <f>_xlfn.XLOOKUP($A52,ROTACIÓN!$A$2:$A$101,ROTACIÓN!$B$2:$B$101)</f>
        <v>61</v>
      </c>
      <c r="E52" s="35" t="str">
        <f>_xlfn.XLOOKUP($A52,ROTACIÓN!$A$2:$A$101,ROTACIÓN!$C$2:$C$101)</f>
        <v>C</v>
      </c>
      <c r="F52" s="33" t="str">
        <f>STOCK_ACTUAL!E49</f>
        <v>2. PISO</v>
      </c>
      <c r="G52" s="36">
        <f>_xlfn.XLOOKUP($F52,LAYOUT_CD!$A$2:$A$10,LAYOUT_CD!$C$2:$C$10)</f>
        <v>1.6</v>
      </c>
      <c r="H52" s="34">
        <f>_xlfn.XLOOKUP($F52,LAYOUT_CD!$A$2:$A$10,LAYOUT_CD!$B$2:$B$10)</f>
        <v>10</v>
      </c>
      <c r="I52" s="37">
        <f>STOCK_ACTUAL!F49</f>
        <v>0.28403060953001491</v>
      </c>
      <c r="J52" s="38">
        <f>STOCK_ACTUAL!G49</f>
        <v>25.38261164982864</v>
      </c>
      <c r="K52" s="34">
        <f t="shared" si="0"/>
        <v>97.600000000000009</v>
      </c>
      <c r="L52" s="35" t="str">
        <f t="shared" si="1"/>
        <v>NO</v>
      </c>
      <c r="M52" s="39" t="str">
        <f t="shared" si="2"/>
        <v>NO</v>
      </c>
    </row>
    <row r="53" spans="1:23" x14ac:dyDescent="0.35">
      <c r="A53" s="32" t="str">
        <f>STOCK_ACTUAL!B50</f>
        <v>SKU00049</v>
      </c>
      <c r="B53" s="33" t="str">
        <f>STOCK_ACTUAL!C50</f>
        <v>Marca D</v>
      </c>
      <c r="C53" s="33" t="str">
        <f>STOCK_ACTUAL!D50</f>
        <v>Correas</v>
      </c>
      <c r="D53" s="34">
        <f>_xlfn.XLOOKUP($A53,ROTACIÓN!$A$2:$A$101,ROTACIÓN!$B$2:$B$101)</f>
        <v>315</v>
      </c>
      <c r="E53" s="35" t="str">
        <f>_xlfn.XLOOKUP($A53,ROTACIÓN!$A$2:$A$101,ROTACIÓN!$C$2:$C$101)</f>
        <v>B</v>
      </c>
      <c r="F53" s="33" t="str">
        <f>STOCK_ACTUAL!E50</f>
        <v>1. LLANTAS</v>
      </c>
      <c r="G53" s="36">
        <f>_xlfn.XLOOKUP($F53,LAYOUT_CD!$A$2:$A$10,LAYOUT_CD!$C$2:$C$10)</f>
        <v>8.0399999999999991</v>
      </c>
      <c r="H53" s="34">
        <f>_xlfn.XLOOKUP($F53,LAYOUT_CD!$A$2:$A$10,LAYOUT_CD!$B$2:$B$10)</f>
        <v>100</v>
      </c>
      <c r="I53" s="37">
        <f>STOCK_ACTUAL!F50</f>
        <v>0.29601962570447587</v>
      </c>
      <c r="J53" s="38">
        <f>STOCK_ACTUAL!G50</f>
        <v>3.048198186874473</v>
      </c>
      <c r="K53" s="34">
        <f t="shared" si="0"/>
        <v>2532.6</v>
      </c>
      <c r="L53" s="35" t="str">
        <f t="shared" si="1"/>
        <v>SÍ</v>
      </c>
      <c r="M53" s="39" t="str">
        <f t="shared" si="2"/>
        <v>NO</v>
      </c>
    </row>
    <row r="54" spans="1:23" x14ac:dyDescent="0.35">
      <c r="A54" s="32" t="str">
        <f>STOCK_ACTUAL!B51</f>
        <v>SKU00050</v>
      </c>
      <c r="B54" s="33" t="str">
        <f>STOCK_ACTUAL!C51</f>
        <v>Marca E</v>
      </c>
      <c r="C54" s="33" t="str">
        <f>STOCK_ACTUAL!D51</f>
        <v>Soportes</v>
      </c>
      <c r="D54" s="34">
        <f>_xlfn.XLOOKUP($A54,ROTACIÓN!$A$2:$A$101,ROTACIÓN!$B$2:$B$101)</f>
        <v>363</v>
      </c>
      <c r="E54" s="35" t="str">
        <f>_xlfn.XLOOKUP($A54,ROTACIÓN!$A$2:$A$101,ROTACIÓN!$C$2:$C$101)</f>
        <v>A</v>
      </c>
      <c r="F54" s="33" t="str">
        <f>STOCK_ACTUAL!E51</f>
        <v>2. PISO</v>
      </c>
      <c r="G54" s="36">
        <f>_xlfn.XLOOKUP($F54,LAYOUT_CD!$A$2:$A$10,LAYOUT_CD!$C$2:$C$10)</f>
        <v>1.6</v>
      </c>
      <c r="H54" s="34">
        <f>_xlfn.XLOOKUP($F54,LAYOUT_CD!$A$2:$A$10,LAYOUT_CD!$B$2:$B$10)</f>
        <v>10</v>
      </c>
      <c r="I54" s="37">
        <f>STOCK_ACTUAL!F51</f>
        <v>0.13318450498648721</v>
      </c>
      <c r="J54" s="38">
        <f>STOCK_ACTUAL!G51</f>
        <v>14.29299997971227</v>
      </c>
      <c r="K54" s="34">
        <f t="shared" si="0"/>
        <v>580.80000000000007</v>
      </c>
      <c r="L54" s="35" t="str">
        <f t="shared" si="1"/>
        <v>NO</v>
      </c>
      <c r="M54" s="39" t="str">
        <f t="shared" si="2"/>
        <v>NO</v>
      </c>
      <c r="P54" s="52" t="s">
        <v>339</v>
      </c>
    </row>
    <row r="55" spans="1:23" x14ac:dyDescent="0.35">
      <c r="A55" s="32" t="str">
        <f>STOCK_ACTUAL!B52</f>
        <v>SKU00051</v>
      </c>
      <c r="B55" s="33" t="str">
        <f>STOCK_ACTUAL!C52</f>
        <v>Marca A</v>
      </c>
      <c r="C55" s="33" t="str">
        <f>STOCK_ACTUAL!D52</f>
        <v>Filtros</v>
      </c>
      <c r="D55" s="34">
        <f>_xlfn.XLOOKUP($A55,ROTACIÓN!$A$2:$A$101,ROTACIÓN!$B$2:$B$101)</f>
        <v>423</v>
      </c>
      <c r="E55" s="35" t="str">
        <f>_xlfn.XLOOKUP($A55,ROTACIÓN!$A$2:$A$101,ROTACIÓN!$C$2:$C$101)</f>
        <v>A</v>
      </c>
      <c r="F55" s="33" t="str">
        <f>STOCK_ACTUAL!E52</f>
        <v>4. RACK BALDA</v>
      </c>
      <c r="G55" s="36">
        <f>_xlfn.XLOOKUP($F55,LAYOUT_CD!$A$2:$A$10,LAYOUT_CD!$C$2:$C$10)</f>
        <v>4.82</v>
      </c>
      <c r="H55" s="34">
        <f>_xlfn.XLOOKUP($F55,LAYOUT_CD!$A$2:$A$10,LAYOUT_CD!$B$2:$B$10)</f>
        <v>60</v>
      </c>
      <c r="I55" s="37">
        <f>STOCK_ACTUAL!F52</f>
        <v>0.48631308249405142</v>
      </c>
      <c r="J55" s="38">
        <f>STOCK_ACTUAL!G52</f>
        <v>45.459161355349359</v>
      </c>
      <c r="K55" s="34">
        <f t="shared" si="0"/>
        <v>2038.8600000000001</v>
      </c>
      <c r="L55" s="35" t="str">
        <f t="shared" si="1"/>
        <v>SÍ</v>
      </c>
      <c r="M55" s="39" t="str">
        <f t="shared" si="2"/>
        <v>SÍ</v>
      </c>
      <c r="P55" s="28" t="s">
        <v>340</v>
      </c>
    </row>
    <row r="56" spans="1:23" ht="32" customHeight="1" x14ac:dyDescent="0.35">
      <c r="A56" s="32" t="str">
        <f>STOCK_ACTUAL!B53</f>
        <v>SKU00052</v>
      </c>
      <c r="B56" s="33" t="str">
        <f>STOCK_ACTUAL!C53</f>
        <v>Marca B</v>
      </c>
      <c r="C56" s="33" t="str">
        <f>STOCK_ACTUAL!D53</f>
        <v>Lubricantes</v>
      </c>
      <c r="D56" s="34">
        <f>_xlfn.XLOOKUP($A56,ROTACIÓN!$A$2:$A$101,ROTACIÓN!$B$2:$B$101)</f>
        <v>227</v>
      </c>
      <c r="E56" s="35" t="str">
        <f>_xlfn.XLOOKUP($A56,ROTACIÓN!$A$2:$A$101,ROTACIÓN!$C$2:$C$101)</f>
        <v>B</v>
      </c>
      <c r="F56" s="33" t="str">
        <f>STOCK_ACTUAL!E53</f>
        <v>5. RACK SIMPLE</v>
      </c>
      <c r="G56" s="36">
        <f>_xlfn.XLOOKUP($F56,LAYOUT_CD!$A$2:$A$10,LAYOUT_CD!$C$2:$C$10)</f>
        <v>5.63</v>
      </c>
      <c r="H56" s="34">
        <f>_xlfn.XLOOKUP($F56,LAYOUT_CD!$A$2:$A$10,LAYOUT_CD!$B$2:$B$10)</f>
        <v>65</v>
      </c>
      <c r="I56" s="37">
        <f>STOCK_ACTUAL!F53</f>
        <v>0.39880977051250149</v>
      </c>
      <c r="J56" s="38">
        <f>STOCK_ACTUAL!G53</f>
        <v>12.358313588015131</v>
      </c>
      <c r="K56" s="34">
        <f t="shared" si="0"/>
        <v>1278.01</v>
      </c>
      <c r="L56" s="35" t="str">
        <f t="shared" si="1"/>
        <v>SÍ</v>
      </c>
      <c r="M56" s="39" t="str">
        <f t="shared" si="2"/>
        <v>NO</v>
      </c>
      <c r="P56" s="48" t="s">
        <v>17</v>
      </c>
      <c r="Q56" s="49" t="s">
        <v>19</v>
      </c>
      <c r="R56" s="49" t="s">
        <v>305</v>
      </c>
      <c r="S56" s="49" t="s">
        <v>341</v>
      </c>
      <c r="T56" s="49" t="s">
        <v>45</v>
      </c>
      <c r="U56" s="49" t="s">
        <v>342</v>
      </c>
      <c r="V56" s="84" t="s">
        <v>343</v>
      </c>
      <c r="W56" s="85" t="s">
        <v>344</v>
      </c>
    </row>
    <row r="57" spans="1:23" x14ac:dyDescent="0.35">
      <c r="A57" s="32" t="str">
        <f>STOCK_ACTUAL!B54</f>
        <v>SKU00053</v>
      </c>
      <c r="B57" s="33" t="str">
        <f>STOCK_ACTUAL!C54</f>
        <v>Marca C</v>
      </c>
      <c r="C57" s="33" t="str">
        <f>STOCK_ACTUAL!D54</f>
        <v>Pastillas</v>
      </c>
      <c r="D57" s="34">
        <f>_xlfn.XLOOKUP($A57,ROTACIÓN!$A$2:$A$101,ROTACIÓN!$B$2:$B$101)</f>
        <v>382</v>
      </c>
      <c r="E57" s="35" t="str">
        <f>_xlfn.XLOOKUP($A57,ROTACIÓN!$A$2:$A$101,ROTACIÓN!$C$2:$C$101)</f>
        <v>A</v>
      </c>
      <c r="F57" s="33" t="str">
        <f>STOCK_ACTUAL!E54</f>
        <v>6. RACK COLGANTES</v>
      </c>
      <c r="G57" s="36">
        <f>_xlfn.XLOOKUP($F57,LAYOUT_CD!$A$2:$A$10,LAYOUT_CD!$C$2:$C$10)</f>
        <v>3.61</v>
      </c>
      <c r="H57" s="34">
        <f>_xlfn.XLOOKUP($F57,LAYOUT_CD!$A$2:$A$10,LAYOUT_CD!$B$2:$B$10)</f>
        <v>45</v>
      </c>
      <c r="I57" s="37">
        <f>STOCK_ACTUAL!F54</f>
        <v>0.47277452370388512</v>
      </c>
      <c r="J57" s="38">
        <f>STOCK_ACTUAL!G54</f>
        <v>7.6722961685155431</v>
      </c>
      <c r="K57" s="34">
        <f t="shared" si="0"/>
        <v>1379.02</v>
      </c>
      <c r="L57" s="35" t="str">
        <f t="shared" si="1"/>
        <v>NO</v>
      </c>
      <c r="M57" s="39" t="str">
        <f t="shared" si="2"/>
        <v>NO</v>
      </c>
      <c r="P57" s="32" t="str" cm="1">
        <f t="array" ref="P57">IFERROR(INDEX($A$5:$A$104,SMALL(IF(($E$5:$E$104="A")*(ISNUMBER(MATCH($F$5:$F$104,{"1. LLANTAS";"7. MEZANNINE";"5. RACK SIMPLE";"4. RACK BALDA"},0))),ROW($A$5:$A$104)-4),ROW()-56)),"")</f>
        <v>SKU00009</v>
      </c>
      <c r="Q57" s="34">
        <f>IFERROR(_xlfn.XLOOKUP($P57,$A$5:$A$104,$D$5:$D$104),"")</f>
        <v>432</v>
      </c>
      <c r="R57" s="33" t="str">
        <f>IFERROR(_xlfn.XLOOKUP($P57,$A$5:$A$104,$F$5:$F$104),"")</f>
        <v>4. RACK BALDA</v>
      </c>
      <c r="S57" s="36">
        <f>IFERROR(_xlfn.XLOOKUP($P57,$A$5:$A$104,$G$5:$G$104),"")</f>
        <v>4.82</v>
      </c>
      <c r="T57" s="33" t="str">
        <f>IFERROR(_xlfn.XLOOKUP($P57,$A$5:$A$104,$C$5:$C$104),"")</f>
        <v>Correas</v>
      </c>
      <c r="U57" s="34">
        <f>IFERROR($Q57*$S57,"")</f>
        <v>2082.2400000000002</v>
      </c>
      <c r="V57" s="34">
        <f>IFERROR($Q57*$S$20,"")</f>
        <v>691.2</v>
      </c>
      <c r="W57" s="63">
        <f>IFERROR($U57-$V57,"")</f>
        <v>1391.0400000000002</v>
      </c>
    </row>
    <row r="58" spans="1:23" x14ac:dyDescent="0.35">
      <c r="A58" s="32" t="str">
        <f>STOCK_ACTUAL!B55</f>
        <v>SKU00054</v>
      </c>
      <c r="B58" s="33" t="str">
        <f>STOCK_ACTUAL!C55</f>
        <v>Marca D</v>
      </c>
      <c r="C58" s="33" t="str">
        <f>STOCK_ACTUAL!D55</f>
        <v>Correas</v>
      </c>
      <c r="D58" s="34">
        <f>_xlfn.XLOOKUP($A58,ROTACIÓN!$A$2:$A$101,ROTACIÓN!$B$2:$B$101)</f>
        <v>452</v>
      </c>
      <c r="E58" s="35" t="str">
        <f>_xlfn.XLOOKUP($A58,ROTACIÓN!$A$2:$A$101,ROTACIÓN!$C$2:$C$101)</f>
        <v>A</v>
      </c>
      <c r="F58" s="33" t="str">
        <f>STOCK_ACTUAL!E55</f>
        <v>5. RACK SIMPLE</v>
      </c>
      <c r="G58" s="36">
        <f>_xlfn.XLOOKUP($F58,LAYOUT_CD!$A$2:$A$10,LAYOUT_CD!$C$2:$C$10)</f>
        <v>5.63</v>
      </c>
      <c r="H58" s="34">
        <f>_xlfn.XLOOKUP($F58,LAYOUT_CD!$A$2:$A$10,LAYOUT_CD!$B$2:$B$10)</f>
        <v>65</v>
      </c>
      <c r="I58" s="37">
        <f>STOCK_ACTUAL!F55</f>
        <v>0.45267230769244199</v>
      </c>
      <c r="J58" s="38">
        <f>STOCK_ACTUAL!G55</f>
        <v>24.727911633739371</v>
      </c>
      <c r="K58" s="34">
        <f t="shared" si="0"/>
        <v>2544.7599999999998</v>
      </c>
      <c r="L58" s="35" t="str">
        <f t="shared" si="1"/>
        <v>SÍ</v>
      </c>
      <c r="M58" s="39" t="str">
        <f t="shared" si="2"/>
        <v>SÍ</v>
      </c>
      <c r="P58" s="32" t="str" cm="1">
        <f t="array" ref="P58">IFERROR(INDEX($A$5:$A$104,SMALL(IF(($E$5:$E$104="A")*(ISNUMBER(MATCH($F$5:$F$104,{"1. LLANTAS";"7. MEZANNINE";"5. RACK SIMPLE";"4. RACK BALDA"},0))),ROW($A$5:$A$104)-4),ROW()-56)),"")</f>
        <v>SKU00013</v>
      </c>
      <c r="Q58" s="34">
        <f t="shared" ref="Q58:Q81" si="18">IFERROR(_xlfn.XLOOKUP($P58,$A$5:$A$104,$D$5:$D$104),"")</f>
        <v>398</v>
      </c>
      <c r="R58" s="33" t="str">
        <f t="shared" ref="R58:R81" si="19">IFERROR(_xlfn.XLOOKUP($P58,$A$5:$A$104,$F$5:$F$104),"")</f>
        <v>5. RACK SIMPLE</v>
      </c>
      <c r="S58" s="36">
        <f t="shared" ref="S58:S81" si="20">IFERROR(_xlfn.XLOOKUP($P58,$A$5:$A$104,$G$5:$G$104),"")</f>
        <v>5.63</v>
      </c>
      <c r="T58" s="33" t="str">
        <f t="shared" ref="T58:T81" si="21">IFERROR(_xlfn.XLOOKUP($P58,$A$5:$A$104,$C$5:$C$104),"")</f>
        <v>Pastillas</v>
      </c>
      <c r="U58" s="34">
        <f t="shared" ref="U58:U81" si="22">IFERROR($Q58*$S58,"")</f>
        <v>2240.7399999999998</v>
      </c>
      <c r="V58" s="34">
        <f t="shared" ref="V58:V81" si="23">IFERROR($Q58*$S$20,"")</f>
        <v>636.80000000000007</v>
      </c>
      <c r="W58" s="63">
        <f t="shared" ref="W58:W81" si="24">IFERROR($U58-$V58,"")</f>
        <v>1603.9399999999996</v>
      </c>
    </row>
    <row r="59" spans="1:23" x14ac:dyDescent="0.35">
      <c r="A59" s="32" t="str">
        <f>STOCK_ACTUAL!B56</f>
        <v>SKU00055</v>
      </c>
      <c r="B59" s="33" t="str">
        <f>STOCK_ACTUAL!C56</f>
        <v>Marca E</v>
      </c>
      <c r="C59" s="33" t="str">
        <f>STOCK_ACTUAL!D56</f>
        <v>Soportes</v>
      </c>
      <c r="D59" s="34">
        <f>_xlfn.XLOOKUP($A59,ROTACIÓN!$A$2:$A$101,ROTACIÓN!$B$2:$B$101)</f>
        <v>332</v>
      </c>
      <c r="E59" s="35" t="str">
        <f>_xlfn.XLOOKUP($A59,ROTACIÓN!$A$2:$A$101,ROTACIÓN!$C$2:$C$101)</f>
        <v>B</v>
      </c>
      <c r="F59" s="33" t="str">
        <f>STOCK_ACTUAL!E56</f>
        <v>5. RACK SIMPLE</v>
      </c>
      <c r="G59" s="36">
        <f>_xlfn.XLOOKUP($F59,LAYOUT_CD!$A$2:$A$10,LAYOUT_CD!$C$2:$C$10)</f>
        <v>5.63</v>
      </c>
      <c r="H59" s="34">
        <f>_xlfn.XLOOKUP($F59,LAYOUT_CD!$A$2:$A$10,LAYOUT_CD!$B$2:$B$10)</f>
        <v>65</v>
      </c>
      <c r="I59" s="37">
        <f>STOCK_ACTUAL!F56</f>
        <v>0.31905499046498831</v>
      </c>
      <c r="J59" s="38">
        <f>STOCK_ACTUAL!G56</f>
        <v>49.289697478474743</v>
      </c>
      <c r="K59" s="34">
        <f t="shared" si="0"/>
        <v>1869.1599999999999</v>
      </c>
      <c r="L59" s="35" t="str">
        <f t="shared" si="1"/>
        <v>SÍ</v>
      </c>
      <c r="M59" s="39" t="str">
        <f t="shared" si="2"/>
        <v>NO</v>
      </c>
      <c r="P59" s="32" t="str" cm="1">
        <f t="array" ref="P59">IFERROR(INDEX($A$5:$A$104,SMALL(IF(($E$5:$E$104="A")*(ISNUMBER(MATCH($F$5:$F$104,{"1. LLANTAS";"7. MEZANNINE";"5. RACK SIMPLE";"4. RACK BALDA"},0))),ROW($A$5:$A$104)-4),ROW()-56)),"")</f>
        <v>SKU00025</v>
      </c>
      <c r="Q59" s="34">
        <f t="shared" si="18"/>
        <v>439</v>
      </c>
      <c r="R59" s="33" t="str">
        <f t="shared" si="19"/>
        <v>5. RACK SIMPLE</v>
      </c>
      <c r="S59" s="36">
        <f t="shared" si="20"/>
        <v>5.63</v>
      </c>
      <c r="T59" s="33" t="str">
        <f t="shared" si="21"/>
        <v>Soportes</v>
      </c>
      <c r="U59" s="34">
        <f t="shared" si="22"/>
        <v>2471.5700000000002</v>
      </c>
      <c r="V59" s="34">
        <f t="shared" si="23"/>
        <v>702.40000000000009</v>
      </c>
      <c r="W59" s="63">
        <f t="shared" si="24"/>
        <v>1769.17</v>
      </c>
    </row>
    <row r="60" spans="1:23" x14ac:dyDescent="0.35">
      <c r="A60" s="32" t="str">
        <f>STOCK_ACTUAL!B57</f>
        <v>SKU00056</v>
      </c>
      <c r="B60" s="33" t="str">
        <f>STOCK_ACTUAL!C57</f>
        <v>Marca A</v>
      </c>
      <c r="C60" s="33" t="str">
        <f>STOCK_ACTUAL!D57</f>
        <v>Filtros</v>
      </c>
      <c r="D60" s="34">
        <f>_xlfn.XLOOKUP($A60,ROTACIÓN!$A$2:$A$101,ROTACIÓN!$B$2:$B$101)</f>
        <v>210</v>
      </c>
      <c r="E60" s="35" t="str">
        <f>_xlfn.XLOOKUP($A60,ROTACIÓN!$A$2:$A$101,ROTACIÓN!$C$2:$C$101)</f>
        <v>B</v>
      </c>
      <c r="F60" s="33" t="str">
        <f>STOCK_ACTUAL!E57</f>
        <v>4. RACK BALDA</v>
      </c>
      <c r="G60" s="36">
        <f>_xlfn.XLOOKUP($F60,LAYOUT_CD!$A$2:$A$10,LAYOUT_CD!$C$2:$C$10)</f>
        <v>4.82</v>
      </c>
      <c r="H60" s="34">
        <f>_xlfn.XLOOKUP($F60,LAYOUT_CD!$A$2:$A$10,LAYOUT_CD!$B$2:$B$10)</f>
        <v>60</v>
      </c>
      <c r="I60" s="37">
        <f>STOCK_ACTUAL!F57</f>
        <v>0.46484340576040262</v>
      </c>
      <c r="J60" s="38">
        <f>STOCK_ACTUAL!G57</f>
        <v>12.48173593981927</v>
      </c>
      <c r="K60" s="34">
        <f t="shared" si="0"/>
        <v>1012.2</v>
      </c>
      <c r="L60" s="35" t="str">
        <f t="shared" si="1"/>
        <v>SÍ</v>
      </c>
      <c r="M60" s="39" t="str">
        <f t="shared" si="2"/>
        <v>NO</v>
      </c>
      <c r="P60" s="32" t="str" cm="1">
        <f t="array" ref="P60">IFERROR(INDEX($A$5:$A$104,SMALL(IF(($E$5:$E$104="A")*(ISNUMBER(MATCH($F$5:$F$104,{"1. LLANTAS";"7. MEZANNINE";"5. RACK SIMPLE";"4. RACK BALDA"},0))),ROW($A$5:$A$104)-4),ROW()-56)),"")</f>
        <v>SKU00029</v>
      </c>
      <c r="Q60" s="34">
        <f t="shared" si="18"/>
        <v>419</v>
      </c>
      <c r="R60" s="33" t="str">
        <f t="shared" si="19"/>
        <v>4. RACK BALDA</v>
      </c>
      <c r="S60" s="36">
        <f t="shared" si="20"/>
        <v>4.82</v>
      </c>
      <c r="T60" s="33" t="str">
        <f t="shared" si="21"/>
        <v>Correas</v>
      </c>
      <c r="U60" s="34">
        <f t="shared" si="22"/>
        <v>2019.5800000000002</v>
      </c>
      <c r="V60" s="34">
        <f t="shared" si="23"/>
        <v>670.40000000000009</v>
      </c>
      <c r="W60" s="63">
        <f t="shared" si="24"/>
        <v>1349.18</v>
      </c>
    </row>
    <row r="61" spans="1:23" x14ac:dyDescent="0.35">
      <c r="A61" s="32" t="str">
        <f>STOCK_ACTUAL!B58</f>
        <v>SKU00057</v>
      </c>
      <c r="B61" s="33" t="str">
        <f>STOCK_ACTUAL!C58</f>
        <v>Marca B</v>
      </c>
      <c r="C61" s="33" t="str">
        <f>STOCK_ACTUAL!D58</f>
        <v>Lubricantes</v>
      </c>
      <c r="D61" s="34">
        <f>_xlfn.XLOOKUP($A61,ROTACIÓN!$A$2:$A$101,ROTACIÓN!$B$2:$B$101)</f>
        <v>207</v>
      </c>
      <c r="E61" s="35" t="str">
        <f>_xlfn.XLOOKUP($A61,ROTACIÓN!$A$2:$A$101,ROTACIÓN!$C$2:$C$101)</f>
        <v>B</v>
      </c>
      <c r="F61" s="33" t="str">
        <f>STOCK_ACTUAL!E58</f>
        <v>6. RACK COLGANTES</v>
      </c>
      <c r="G61" s="36">
        <f>_xlfn.XLOOKUP($F61,LAYOUT_CD!$A$2:$A$10,LAYOUT_CD!$C$2:$C$10)</f>
        <v>3.61</v>
      </c>
      <c r="H61" s="34">
        <f>_xlfn.XLOOKUP($F61,LAYOUT_CD!$A$2:$A$10,LAYOUT_CD!$B$2:$B$10)</f>
        <v>45</v>
      </c>
      <c r="I61" s="37">
        <f>STOCK_ACTUAL!F58</f>
        <v>8.9821625923363776E-2</v>
      </c>
      <c r="J61" s="38">
        <f>STOCK_ACTUAL!G58</f>
        <v>33.77070959659099</v>
      </c>
      <c r="K61" s="34">
        <f t="shared" si="0"/>
        <v>747.27</v>
      </c>
      <c r="L61" s="35" t="str">
        <f t="shared" si="1"/>
        <v>NO</v>
      </c>
      <c r="M61" s="39" t="str">
        <f t="shared" si="2"/>
        <v>NO</v>
      </c>
      <c r="P61" s="32" t="str" cm="1">
        <f t="array" ref="P61">IFERROR(INDEX($A$5:$A$104,SMALL(IF(($E$5:$E$104="A")*(ISNUMBER(MATCH($F$5:$F$104,{"1. LLANTAS";"7. MEZANNINE";"5. RACK SIMPLE";"4. RACK BALDA"},0))),ROW($A$5:$A$104)-4),ROW()-56)),"")</f>
        <v>SKU00034</v>
      </c>
      <c r="Q61" s="34">
        <f t="shared" si="18"/>
        <v>431</v>
      </c>
      <c r="R61" s="33" t="str">
        <f t="shared" si="19"/>
        <v>7. MEZANNINE</v>
      </c>
      <c r="S61" s="36">
        <f t="shared" si="20"/>
        <v>6.42</v>
      </c>
      <c r="T61" s="33" t="str">
        <f t="shared" si="21"/>
        <v>Correas</v>
      </c>
      <c r="U61" s="34">
        <f t="shared" si="22"/>
        <v>2767.02</v>
      </c>
      <c r="V61" s="34">
        <f t="shared" si="23"/>
        <v>689.6</v>
      </c>
      <c r="W61" s="63">
        <f t="shared" si="24"/>
        <v>2077.42</v>
      </c>
    </row>
    <row r="62" spans="1:23" x14ac:dyDescent="0.35">
      <c r="A62" s="32" t="str">
        <f>STOCK_ACTUAL!B59</f>
        <v>SKU00058</v>
      </c>
      <c r="B62" s="33" t="str">
        <f>STOCK_ACTUAL!C59</f>
        <v>Marca C</v>
      </c>
      <c r="C62" s="33" t="str">
        <f>STOCK_ACTUAL!D59</f>
        <v>Pastillas</v>
      </c>
      <c r="D62" s="34">
        <f>_xlfn.XLOOKUP($A62,ROTACIÓN!$A$2:$A$101,ROTACIÓN!$B$2:$B$101)</f>
        <v>135</v>
      </c>
      <c r="E62" s="35" t="str">
        <f>_xlfn.XLOOKUP($A62,ROTACIÓN!$A$2:$A$101,ROTACIÓN!$C$2:$C$101)</f>
        <v>C</v>
      </c>
      <c r="F62" s="33" t="str">
        <f>STOCK_ACTUAL!E59</f>
        <v>10. UBICACIÓN RECIBO</v>
      </c>
      <c r="G62" s="36">
        <f>_xlfn.XLOOKUP($F62,LAYOUT_CD!$A$2:$A$10,LAYOUT_CD!$C$2:$C$10)</f>
        <v>2.0099999999999998</v>
      </c>
      <c r="H62" s="34">
        <f>_xlfn.XLOOKUP($F62,LAYOUT_CD!$A$2:$A$10,LAYOUT_CD!$B$2:$B$10)</f>
        <v>15</v>
      </c>
      <c r="I62" s="37">
        <f>STOCK_ACTUAL!F59</f>
        <v>0.13819228808861531</v>
      </c>
      <c r="J62" s="38">
        <f>STOCK_ACTUAL!G59</f>
        <v>38.200170958771523</v>
      </c>
      <c r="K62" s="34">
        <f t="shared" si="0"/>
        <v>271.34999999999997</v>
      </c>
      <c r="L62" s="35" t="str">
        <f t="shared" si="1"/>
        <v>NO</v>
      </c>
      <c r="M62" s="39" t="str">
        <f t="shared" si="2"/>
        <v>NO</v>
      </c>
      <c r="P62" s="32" t="str" cm="1">
        <f t="array" ref="P62">IFERROR(INDEX($A$5:$A$104,SMALL(IF(($E$5:$E$104="A")*(ISNUMBER(MATCH($F$5:$F$104,{"1. LLANTAS";"7. MEZANNINE";"5. RACK SIMPLE";"4. RACK BALDA"},0))),ROW($A$5:$A$104)-4),ROW()-56)),"")</f>
        <v>SKU00035</v>
      </c>
      <c r="Q62" s="34">
        <f t="shared" si="18"/>
        <v>448</v>
      </c>
      <c r="R62" s="33" t="str">
        <f t="shared" si="19"/>
        <v>5. RACK SIMPLE</v>
      </c>
      <c r="S62" s="36">
        <f t="shared" si="20"/>
        <v>5.63</v>
      </c>
      <c r="T62" s="33" t="str">
        <f t="shared" si="21"/>
        <v>Soportes</v>
      </c>
      <c r="U62" s="34">
        <f t="shared" si="22"/>
        <v>2522.2399999999998</v>
      </c>
      <c r="V62" s="34">
        <f t="shared" si="23"/>
        <v>716.80000000000007</v>
      </c>
      <c r="W62" s="63">
        <f t="shared" si="24"/>
        <v>1805.4399999999996</v>
      </c>
    </row>
    <row r="63" spans="1:23" x14ac:dyDescent="0.35">
      <c r="A63" s="32" t="str">
        <f>STOCK_ACTUAL!B60</f>
        <v>SKU00059</v>
      </c>
      <c r="B63" s="33" t="str">
        <f>STOCK_ACTUAL!C60</f>
        <v>Marca D</v>
      </c>
      <c r="C63" s="33" t="str">
        <f>STOCK_ACTUAL!D60</f>
        <v>Correas</v>
      </c>
      <c r="D63" s="34">
        <f>_xlfn.XLOOKUP($A63,ROTACIÓN!$A$2:$A$101,ROTACIÓN!$B$2:$B$101)</f>
        <v>426</v>
      </c>
      <c r="E63" s="35" t="str">
        <f>_xlfn.XLOOKUP($A63,ROTACIÓN!$A$2:$A$101,ROTACIÓN!$C$2:$C$101)</f>
        <v>A</v>
      </c>
      <c r="F63" s="33" t="str">
        <f>STOCK_ACTUAL!E60</f>
        <v>2. PISO</v>
      </c>
      <c r="G63" s="36">
        <f>_xlfn.XLOOKUP($F63,LAYOUT_CD!$A$2:$A$10,LAYOUT_CD!$C$2:$C$10)</f>
        <v>1.6</v>
      </c>
      <c r="H63" s="34">
        <f>_xlfn.XLOOKUP($F63,LAYOUT_CD!$A$2:$A$10,LAYOUT_CD!$B$2:$B$10)</f>
        <v>10</v>
      </c>
      <c r="I63" s="37">
        <f>STOCK_ACTUAL!F60</f>
        <v>7.0352280009742141E-2</v>
      </c>
      <c r="J63" s="38">
        <f>STOCK_ACTUAL!G60</f>
        <v>12.263058427623781</v>
      </c>
      <c r="K63" s="34">
        <f t="shared" si="0"/>
        <v>681.6</v>
      </c>
      <c r="L63" s="35" t="str">
        <f t="shared" si="1"/>
        <v>NO</v>
      </c>
      <c r="M63" s="39" t="str">
        <f t="shared" si="2"/>
        <v>NO</v>
      </c>
      <c r="P63" s="32" t="str" cm="1">
        <f t="array" ref="P63">IFERROR(INDEX($A$5:$A$104,SMALL(IF(($E$5:$E$104="A")*(ISNUMBER(MATCH($F$5:$F$104,{"1. LLANTAS";"7. MEZANNINE";"5. RACK SIMPLE";"4. RACK BALDA"},0))),ROW($A$5:$A$104)-4),ROW()-56)),"")</f>
        <v>SKU00044</v>
      </c>
      <c r="Q63" s="34">
        <f t="shared" si="18"/>
        <v>425</v>
      </c>
      <c r="R63" s="33" t="str">
        <f t="shared" si="19"/>
        <v>5. RACK SIMPLE</v>
      </c>
      <c r="S63" s="36">
        <f t="shared" si="20"/>
        <v>5.63</v>
      </c>
      <c r="T63" s="33" t="str">
        <f t="shared" si="21"/>
        <v>Correas</v>
      </c>
      <c r="U63" s="34">
        <f t="shared" si="22"/>
        <v>2392.75</v>
      </c>
      <c r="V63" s="34">
        <f t="shared" si="23"/>
        <v>680</v>
      </c>
      <c r="W63" s="63">
        <f t="shared" si="24"/>
        <v>1712.75</v>
      </c>
    </row>
    <row r="64" spans="1:23" x14ac:dyDescent="0.35">
      <c r="A64" s="32" t="str">
        <f>STOCK_ACTUAL!B61</f>
        <v>SKU00060</v>
      </c>
      <c r="B64" s="33" t="str">
        <f>STOCK_ACTUAL!C61</f>
        <v>Marca E</v>
      </c>
      <c r="C64" s="33" t="str">
        <f>STOCK_ACTUAL!D61</f>
        <v>Soportes</v>
      </c>
      <c r="D64" s="34">
        <f>_xlfn.XLOOKUP($A64,ROTACIÓN!$A$2:$A$101,ROTACIÓN!$B$2:$B$101)</f>
        <v>250</v>
      </c>
      <c r="E64" s="35" t="str">
        <f>_xlfn.XLOOKUP($A64,ROTACIÓN!$A$2:$A$101,ROTACIÓN!$C$2:$C$101)</f>
        <v>B</v>
      </c>
      <c r="F64" s="33" t="str">
        <f>STOCK_ACTUAL!E61</f>
        <v>2. PISO</v>
      </c>
      <c r="G64" s="36">
        <f>_xlfn.XLOOKUP($F64,LAYOUT_CD!$A$2:$A$10,LAYOUT_CD!$C$2:$C$10)</f>
        <v>1.6</v>
      </c>
      <c r="H64" s="34">
        <f>_xlfn.XLOOKUP($F64,LAYOUT_CD!$A$2:$A$10,LAYOUT_CD!$B$2:$B$10)</f>
        <v>10</v>
      </c>
      <c r="I64" s="37">
        <f>STOCK_ACTUAL!F61</f>
        <v>0.196398648843469</v>
      </c>
      <c r="J64" s="38">
        <f>STOCK_ACTUAL!G61</f>
        <v>36.546709256287052</v>
      </c>
      <c r="K64" s="34">
        <f t="shared" si="0"/>
        <v>400</v>
      </c>
      <c r="L64" s="35" t="str">
        <f t="shared" si="1"/>
        <v>NO</v>
      </c>
      <c r="M64" s="39" t="str">
        <f t="shared" si="2"/>
        <v>NO</v>
      </c>
      <c r="P64" s="32" t="str" cm="1">
        <f t="array" ref="P64">IFERROR(INDEX($A$5:$A$104,SMALL(IF(($E$5:$E$104="A")*(ISNUMBER(MATCH($F$5:$F$104,{"1. LLANTAS";"7. MEZANNINE";"5. RACK SIMPLE";"4. RACK BALDA"},0))),ROW($A$5:$A$104)-4),ROW()-56)),"")</f>
        <v>SKU00051</v>
      </c>
      <c r="Q64" s="34">
        <f t="shared" si="18"/>
        <v>423</v>
      </c>
      <c r="R64" s="33" t="str">
        <f t="shared" si="19"/>
        <v>4. RACK BALDA</v>
      </c>
      <c r="S64" s="36">
        <f t="shared" si="20"/>
        <v>4.82</v>
      </c>
      <c r="T64" s="33" t="str">
        <f t="shared" si="21"/>
        <v>Filtros</v>
      </c>
      <c r="U64" s="34">
        <f t="shared" si="22"/>
        <v>2038.8600000000001</v>
      </c>
      <c r="V64" s="34">
        <f t="shared" si="23"/>
        <v>676.80000000000007</v>
      </c>
      <c r="W64" s="63">
        <f t="shared" si="24"/>
        <v>1362.06</v>
      </c>
    </row>
    <row r="65" spans="1:23" x14ac:dyDescent="0.35">
      <c r="A65" s="32" t="str">
        <f>STOCK_ACTUAL!B62</f>
        <v>SKU00061</v>
      </c>
      <c r="B65" s="33" t="str">
        <f>STOCK_ACTUAL!C62</f>
        <v>Marca A</v>
      </c>
      <c r="C65" s="33" t="str">
        <f>STOCK_ACTUAL!D62</f>
        <v>Filtros</v>
      </c>
      <c r="D65" s="34">
        <f>_xlfn.XLOOKUP($A65,ROTACIÓN!$A$2:$A$101,ROTACIÓN!$B$2:$B$101)</f>
        <v>189</v>
      </c>
      <c r="E65" s="35" t="str">
        <f>_xlfn.XLOOKUP($A65,ROTACIÓN!$A$2:$A$101,ROTACIÓN!$C$2:$C$101)</f>
        <v>C</v>
      </c>
      <c r="F65" s="33" t="str">
        <f>STOCK_ACTUAL!E62</f>
        <v>2. PISO</v>
      </c>
      <c r="G65" s="36">
        <f>_xlfn.XLOOKUP($F65,LAYOUT_CD!$A$2:$A$10,LAYOUT_CD!$C$2:$C$10)</f>
        <v>1.6</v>
      </c>
      <c r="H65" s="34">
        <f>_xlfn.XLOOKUP($F65,LAYOUT_CD!$A$2:$A$10,LAYOUT_CD!$B$2:$B$10)</f>
        <v>10</v>
      </c>
      <c r="I65" s="37">
        <f>STOCK_ACTUAL!F62</f>
        <v>0.2249047803602669</v>
      </c>
      <c r="J65" s="38">
        <f>STOCK_ACTUAL!G62</f>
        <v>18.70526506960303</v>
      </c>
      <c r="K65" s="34">
        <f t="shared" si="0"/>
        <v>302.40000000000003</v>
      </c>
      <c r="L65" s="35" t="str">
        <f t="shared" si="1"/>
        <v>NO</v>
      </c>
      <c r="M65" s="39" t="str">
        <f t="shared" si="2"/>
        <v>NO</v>
      </c>
      <c r="P65" s="32" t="str" cm="1">
        <f t="array" ref="P65">IFERROR(INDEX($A$5:$A$104,SMALL(IF(($E$5:$E$104="A")*(ISNUMBER(MATCH($F$5:$F$104,{"1. LLANTAS";"7. MEZANNINE";"5. RACK SIMPLE";"4. RACK BALDA"},0))),ROW($A$5:$A$104)-4),ROW()-56)),"")</f>
        <v>SKU00054</v>
      </c>
      <c r="Q65" s="34">
        <f t="shared" si="18"/>
        <v>452</v>
      </c>
      <c r="R65" s="33" t="str">
        <f t="shared" si="19"/>
        <v>5. RACK SIMPLE</v>
      </c>
      <c r="S65" s="36">
        <f t="shared" si="20"/>
        <v>5.63</v>
      </c>
      <c r="T65" s="33" t="str">
        <f t="shared" si="21"/>
        <v>Correas</v>
      </c>
      <c r="U65" s="34">
        <f t="shared" si="22"/>
        <v>2544.7599999999998</v>
      </c>
      <c r="V65" s="34">
        <f t="shared" si="23"/>
        <v>723.2</v>
      </c>
      <c r="W65" s="63">
        <f t="shared" si="24"/>
        <v>1821.5599999999997</v>
      </c>
    </row>
    <row r="66" spans="1:23" x14ac:dyDescent="0.35">
      <c r="A66" s="32" t="str">
        <f>STOCK_ACTUAL!B63</f>
        <v>SKU00062</v>
      </c>
      <c r="B66" s="33" t="str">
        <f>STOCK_ACTUAL!C63</f>
        <v>Marca B</v>
      </c>
      <c r="C66" s="33" t="str">
        <f>STOCK_ACTUAL!D63</f>
        <v>Lubricantes</v>
      </c>
      <c r="D66" s="34">
        <f>_xlfn.XLOOKUP($A66,ROTACIÓN!$A$2:$A$101,ROTACIÓN!$B$2:$B$101)</f>
        <v>453</v>
      </c>
      <c r="E66" s="35" t="str">
        <f>_xlfn.XLOOKUP($A66,ROTACIÓN!$A$2:$A$101,ROTACIÓN!$C$2:$C$101)</f>
        <v>A</v>
      </c>
      <c r="F66" s="33" t="str">
        <f>STOCK_ACTUAL!E63</f>
        <v>2. PISO</v>
      </c>
      <c r="G66" s="36">
        <f>_xlfn.XLOOKUP($F66,LAYOUT_CD!$A$2:$A$10,LAYOUT_CD!$C$2:$C$10)</f>
        <v>1.6</v>
      </c>
      <c r="H66" s="34">
        <f>_xlfn.XLOOKUP($F66,LAYOUT_CD!$A$2:$A$10,LAYOUT_CD!$B$2:$B$10)</f>
        <v>10</v>
      </c>
      <c r="I66" s="37">
        <f>STOCK_ACTUAL!F63</f>
        <v>0.1721070642982532</v>
      </c>
      <c r="J66" s="38">
        <f>STOCK_ACTUAL!G63</f>
        <v>31.79913861438218</v>
      </c>
      <c r="K66" s="34">
        <f t="shared" si="0"/>
        <v>724.80000000000007</v>
      </c>
      <c r="L66" s="35" t="str">
        <f t="shared" si="1"/>
        <v>NO</v>
      </c>
      <c r="M66" s="39" t="str">
        <f t="shared" si="2"/>
        <v>NO</v>
      </c>
      <c r="P66" s="32" t="str" cm="1">
        <f t="array" ref="P66">IFERROR(INDEX($A$5:$A$104,SMALL(IF(($E$5:$E$104="A")*(ISNUMBER(MATCH($F$5:$F$104,{"1. LLANTAS";"7. MEZANNINE";"5. RACK SIMPLE";"4. RACK BALDA"},0))),ROW($A$5:$A$104)-4),ROW()-56)),"")</f>
        <v>SKU00066</v>
      </c>
      <c r="Q66" s="34">
        <f t="shared" si="18"/>
        <v>417</v>
      </c>
      <c r="R66" s="33" t="str">
        <f t="shared" si="19"/>
        <v>5. RACK SIMPLE</v>
      </c>
      <c r="S66" s="36">
        <f t="shared" si="20"/>
        <v>5.63</v>
      </c>
      <c r="T66" s="33" t="str">
        <f t="shared" si="21"/>
        <v>Filtros</v>
      </c>
      <c r="U66" s="34">
        <f t="shared" si="22"/>
        <v>2347.71</v>
      </c>
      <c r="V66" s="34">
        <f t="shared" si="23"/>
        <v>667.2</v>
      </c>
      <c r="W66" s="63">
        <f t="shared" si="24"/>
        <v>1680.51</v>
      </c>
    </row>
    <row r="67" spans="1:23" x14ac:dyDescent="0.35">
      <c r="A67" s="32" t="str">
        <f>STOCK_ACTUAL!B64</f>
        <v>SKU00063</v>
      </c>
      <c r="B67" s="33" t="str">
        <f>STOCK_ACTUAL!C64</f>
        <v>Marca C</v>
      </c>
      <c r="C67" s="33" t="str">
        <f>STOCK_ACTUAL!D64</f>
        <v>Pastillas</v>
      </c>
      <c r="D67" s="34">
        <f>_xlfn.XLOOKUP($A67,ROTACIÓN!$A$2:$A$101,ROTACIÓN!$B$2:$B$101)</f>
        <v>202</v>
      </c>
      <c r="E67" s="35" t="str">
        <f>_xlfn.XLOOKUP($A67,ROTACIÓN!$A$2:$A$101,ROTACIÓN!$C$2:$C$101)</f>
        <v>C</v>
      </c>
      <c r="F67" s="33" t="str">
        <f>STOCK_ACTUAL!E64</f>
        <v>6. RACK COLGANTES</v>
      </c>
      <c r="G67" s="36">
        <f>_xlfn.XLOOKUP($F67,LAYOUT_CD!$A$2:$A$10,LAYOUT_CD!$C$2:$C$10)</f>
        <v>3.61</v>
      </c>
      <c r="H67" s="34">
        <f>_xlfn.XLOOKUP($F67,LAYOUT_CD!$A$2:$A$10,LAYOUT_CD!$B$2:$B$10)</f>
        <v>45</v>
      </c>
      <c r="I67" s="37">
        <f>STOCK_ACTUAL!F64</f>
        <v>0.42293187911836821</v>
      </c>
      <c r="J67" s="38">
        <f>STOCK_ACTUAL!G64</f>
        <v>31.859720682664289</v>
      </c>
      <c r="K67" s="34">
        <f t="shared" si="0"/>
        <v>729.22</v>
      </c>
      <c r="L67" s="35" t="str">
        <f t="shared" si="1"/>
        <v>NO</v>
      </c>
      <c r="M67" s="39" t="str">
        <f t="shared" si="2"/>
        <v>NO</v>
      </c>
      <c r="P67" s="32" t="str" cm="1">
        <f t="array" ref="P67">IFERROR(INDEX($A$5:$A$104,SMALL(IF(($E$5:$E$104="A")*(ISNUMBER(MATCH($F$5:$F$104,{"1. LLANTAS";"7. MEZANNINE";"5. RACK SIMPLE";"4. RACK BALDA"},0))),ROW($A$5:$A$104)-4),ROW()-56)),"")</f>
        <v>SKU00068</v>
      </c>
      <c r="Q67" s="34">
        <f t="shared" si="18"/>
        <v>415</v>
      </c>
      <c r="R67" s="33" t="str">
        <f t="shared" si="19"/>
        <v>7. MEZANNINE</v>
      </c>
      <c r="S67" s="36">
        <f t="shared" si="20"/>
        <v>6.42</v>
      </c>
      <c r="T67" s="33" t="str">
        <f t="shared" si="21"/>
        <v>Pastillas</v>
      </c>
      <c r="U67" s="34">
        <f t="shared" si="22"/>
        <v>2664.3</v>
      </c>
      <c r="V67" s="34">
        <f t="shared" si="23"/>
        <v>664</v>
      </c>
      <c r="W67" s="63">
        <f t="shared" si="24"/>
        <v>2000.3000000000002</v>
      </c>
    </row>
    <row r="68" spans="1:23" x14ac:dyDescent="0.35">
      <c r="A68" s="32" t="str">
        <f>STOCK_ACTUAL!B65</f>
        <v>SKU00064</v>
      </c>
      <c r="B68" s="33" t="str">
        <f>STOCK_ACTUAL!C65</f>
        <v>Marca D</v>
      </c>
      <c r="C68" s="33" t="str">
        <f>STOCK_ACTUAL!D65</f>
        <v>Correas</v>
      </c>
      <c r="D68" s="34">
        <f>_xlfn.XLOOKUP($A68,ROTACIÓN!$A$2:$A$101,ROTACIÓN!$B$2:$B$101)</f>
        <v>286</v>
      </c>
      <c r="E68" s="35" t="str">
        <f>_xlfn.XLOOKUP($A68,ROTACIÓN!$A$2:$A$101,ROTACIÓN!$C$2:$C$101)</f>
        <v>B</v>
      </c>
      <c r="F68" s="33" t="str">
        <f>STOCK_ACTUAL!E65</f>
        <v>6. RACK COLGANTES</v>
      </c>
      <c r="G68" s="36">
        <f>_xlfn.XLOOKUP($F68,LAYOUT_CD!$A$2:$A$10,LAYOUT_CD!$C$2:$C$10)</f>
        <v>3.61</v>
      </c>
      <c r="H68" s="34">
        <f>_xlfn.XLOOKUP($F68,LAYOUT_CD!$A$2:$A$10,LAYOUT_CD!$B$2:$B$10)</f>
        <v>45</v>
      </c>
      <c r="I68" s="37">
        <f>STOCK_ACTUAL!F65</f>
        <v>0.2105389970121152</v>
      </c>
      <c r="J68" s="38">
        <f>STOCK_ACTUAL!G65</f>
        <v>27.020846861700541</v>
      </c>
      <c r="K68" s="34">
        <f t="shared" si="0"/>
        <v>1032.46</v>
      </c>
      <c r="L68" s="35" t="str">
        <f t="shared" si="1"/>
        <v>NO</v>
      </c>
      <c r="M68" s="39" t="str">
        <f t="shared" si="2"/>
        <v>NO</v>
      </c>
      <c r="P68" s="32" t="str" cm="1">
        <f t="array" ref="P68">IFERROR(INDEX($A$5:$A$104,SMALL(IF(($E$5:$E$104="A")*(ISNUMBER(MATCH($F$5:$F$104,{"1. LLANTAS";"7. MEZANNINE";"5. RACK SIMPLE";"4. RACK BALDA"},0))),ROW($A$5:$A$104)-4),ROW()-56)),"")</f>
        <v>SKU00075</v>
      </c>
      <c r="Q68" s="34">
        <f t="shared" si="18"/>
        <v>359</v>
      </c>
      <c r="R68" s="33" t="str">
        <f t="shared" si="19"/>
        <v>7. MEZANNINE</v>
      </c>
      <c r="S68" s="36">
        <f t="shared" si="20"/>
        <v>6.42</v>
      </c>
      <c r="T68" s="33" t="str">
        <f t="shared" si="21"/>
        <v>Soportes</v>
      </c>
      <c r="U68" s="34">
        <f t="shared" si="22"/>
        <v>2304.7800000000002</v>
      </c>
      <c r="V68" s="34">
        <f t="shared" si="23"/>
        <v>574.4</v>
      </c>
      <c r="W68" s="63">
        <f t="shared" si="24"/>
        <v>1730.38</v>
      </c>
    </row>
    <row r="69" spans="1:23" x14ac:dyDescent="0.35">
      <c r="A69" s="32" t="str">
        <f>STOCK_ACTUAL!B66</f>
        <v>SKU00065</v>
      </c>
      <c r="B69" s="33" t="str">
        <f>STOCK_ACTUAL!C66</f>
        <v>Marca E</v>
      </c>
      <c r="C69" s="33" t="str">
        <f>STOCK_ACTUAL!D66</f>
        <v>Soportes</v>
      </c>
      <c r="D69" s="34">
        <f>_xlfn.XLOOKUP($A69,ROTACIÓN!$A$2:$A$101,ROTACIÓN!$B$2:$B$101)</f>
        <v>281</v>
      </c>
      <c r="E69" s="35" t="str">
        <f>_xlfn.XLOOKUP($A69,ROTACIÓN!$A$2:$A$101,ROTACIÓN!$C$2:$C$101)</f>
        <v>B</v>
      </c>
      <c r="F69" s="33" t="str">
        <f>STOCK_ACTUAL!E66</f>
        <v>1. LLANTAS</v>
      </c>
      <c r="G69" s="36">
        <f>_xlfn.XLOOKUP($F69,LAYOUT_CD!$A$2:$A$10,LAYOUT_CD!$C$2:$C$10)</f>
        <v>8.0399999999999991</v>
      </c>
      <c r="H69" s="34">
        <f>_xlfn.XLOOKUP($F69,LAYOUT_CD!$A$2:$A$10,LAYOUT_CD!$B$2:$B$10)</f>
        <v>100</v>
      </c>
      <c r="I69" s="37">
        <f>STOCK_ACTUAL!F66</f>
        <v>0.17642052935932129</v>
      </c>
      <c r="J69" s="38">
        <f>STOCK_ACTUAL!G66</f>
        <v>4.9693436176932106</v>
      </c>
      <c r="K69" s="34">
        <f t="shared" si="0"/>
        <v>2259.2399999999998</v>
      </c>
      <c r="L69" s="35" t="str">
        <f t="shared" si="1"/>
        <v>SÍ</v>
      </c>
      <c r="M69" s="39" t="str">
        <f t="shared" si="2"/>
        <v>NO</v>
      </c>
      <c r="P69" s="32" t="str" cm="1">
        <f t="array" ref="P69">IFERROR(INDEX($A$5:$A$104,SMALL(IF(($E$5:$E$104="A")*(ISNUMBER(MATCH($F$5:$F$104,{"1. LLANTAS";"7. MEZANNINE";"5. RACK SIMPLE";"4. RACK BALDA"},0))),ROW($A$5:$A$104)-4),ROW()-56)),"")</f>
        <v>SKU00078</v>
      </c>
      <c r="Q69" s="34">
        <f t="shared" si="18"/>
        <v>485</v>
      </c>
      <c r="R69" s="33" t="str">
        <f t="shared" si="19"/>
        <v>1. LLANTAS</v>
      </c>
      <c r="S69" s="36">
        <f t="shared" si="20"/>
        <v>8.0399999999999991</v>
      </c>
      <c r="T69" s="33" t="str">
        <f t="shared" si="21"/>
        <v>Pastillas</v>
      </c>
      <c r="U69" s="34">
        <f t="shared" si="22"/>
        <v>3899.3999999999996</v>
      </c>
      <c r="V69" s="34">
        <f t="shared" si="23"/>
        <v>776</v>
      </c>
      <c r="W69" s="63">
        <f t="shared" si="24"/>
        <v>3123.3999999999996</v>
      </c>
    </row>
    <row r="70" spans="1:23" x14ac:dyDescent="0.35">
      <c r="A70" s="32" t="str">
        <f>STOCK_ACTUAL!B67</f>
        <v>SKU00066</v>
      </c>
      <c r="B70" s="33" t="str">
        <f>STOCK_ACTUAL!C67</f>
        <v>Marca A</v>
      </c>
      <c r="C70" s="33" t="str">
        <f>STOCK_ACTUAL!D67</f>
        <v>Filtros</v>
      </c>
      <c r="D70" s="34">
        <f>_xlfn.XLOOKUP($A70,ROTACIÓN!$A$2:$A$101,ROTACIÓN!$B$2:$B$101)</f>
        <v>417</v>
      </c>
      <c r="E70" s="35" t="str">
        <f>_xlfn.XLOOKUP($A70,ROTACIÓN!$A$2:$A$101,ROTACIÓN!$C$2:$C$101)</f>
        <v>A</v>
      </c>
      <c r="F70" s="33" t="str">
        <f>STOCK_ACTUAL!E67</f>
        <v>5. RACK SIMPLE</v>
      </c>
      <c r="G70" s="36">
        <f>_xlfn.XLOOKUP($F70,LAYOUT_CD!$A$2:$A$10,LAYOUT_CD!$C$2:$C$10)</f>
        <v>5.63</v>
      </c>
      <c r="H70" s="34">
        <f>_xlfn.XLOOKUP($F70,LAYOUT_CD!$A$2:$A$10,LAYOUT_CD!$B$2:$B$10)</f>
        <v>65</v>
      </c>
      <c r="I70" s="37">
        <f>STOCK_ACTUAL!F67</f>
        <v>0.2942132374212118</v>
      </c>
      <c r="J70" s="38">
        <f>STOCK_ACTUAL!G67</f>
        <v>41.847473531667283</v>
      </c>
      <c r="K70" s="34">
        <f t="shared" ref="K70:K104" si="25">$D70*$G70</f>
        <v>2347.71</v>
      </c>
      <c r="L70" s="35" t="str">
        <f t="shared" ref="L70:L104" si="26">IF($G70&gt;$P$1,"SÍ","NO")</f>
        <v>SÍ</v>
      </c>
      <c r="M70" s="39" t="str">
        <f t="shared" ref="M70:M104" si="27">IF(AND($E70="A",$L70="SÍ"),"SÍ","NO")</f>
        <v>SÍ</v>
      </c>
      <c r="P70" s="32" t="str" cm="1">
        <f t="array" ref="P70">IFERROR(INDEX($A$5:$A$104,SMALL(IF(($E$5:$E$104="A")*(ISNUMBER(MATCH($F$5:$F$104,{"1. LLANTAS";"7. MEZANNINE";"5. RACK SIMPLE";"4. RACK BALDA"},0))),ROW($A$5:$A$104)-4),ROW()-56)),"")</f>
        <v>SKU00082</v>
      </c>
      <c r="Q70" s="34">
        <f t="shared" si="18"/>
        <v>382</v>
      </c>
      <c r="R70" s="33" t="str">
        <f t="shared" si="19"/>
        <v>4. RACK BALDA</v>
      </c>
      <c r="S70" s="36">
        <f t="shared" si="20"/>
        <v>4.82</v>
      </c>
      <c r="T70" s="33" t="str">
        <f t="shared" si="21"/>
        <v>Lubricantes</v>
      </c>
      <c r="U70" s="34">
        <f t="shared" si="22"/>
        <v>1841.24</v>
      </c>
      <c r="V70" s="34">
        <f t="shared" si="23"/>
        <v>611.20000000000005</v>
      </c>
      <c r="W70" s="63">
        <f t="shared" si="24"/>
        <v>1230.04</v>
      </c>
    </row>
    <row r="71" spans="1:23" x14ac:dyDescent="0.35">
      <c r="A71" s="32" t="str">
        <f>STOCK_ACTUAL!B68</f>
        <v>SKU00067</v>
      </c>
      <c r="B71" s="33" t="str">
        <f>STOCK_ACTUAL!C68</f>
        <v>Marca B</v>
      </c>
      <c r="C71" s="33" t="str">
        <f>STOCK_ACTUAL!D68</f>
        <v>Lubricantes</v>
      </c>
      <c r="D71" s="34">
        <f>_xlfn.XLOOKUP($A71,ROTACIÓN!$A$2:$A$101,ROTACIÓN!$B$2:$B$101)</f>
        <v>326</v>
      </c>
      <c r="E71" s="35" t="str">
        <f>_xlfn.XLOOKUP($A71,ROTACIÓN!$A$2:$A$101,ROTACIÓN!$C$2:$C$101)</f>
        <v>B</v>
      </c>
      <c r="F71" s="33" t="str">
        <f>STOCK_ACTUAL!E68</f>
        <v>1. LLANTAS</v>
      </c>
      <c r="G71" s="36">
        <f>_xlfn.XLOOKUP($F71,LAYOUT_CD!$A$2:$A$10,LAYOUT_CD!$C$2:$C$10)</f>
        <v>8.0399999999999991</v>
      </c>
      <c r="H71" s="34">
        <f>_xlfn.XLOOKUP($F71,LAYOUT_CD!$A$2:$A$10,LAYOUT_CD!$B$2:$B$10)</f>
        <v>100</v>
      </c>
      <c r="I71" s="37">
        <f>STOCK_ACTUAL!F68</f>
        <v>0.1134159012386432</v>
      </c>
      <c r="J71" s="38">
        <f>STOCK_ACTUAL!G68</f>
        <v>16.37861321610092</v>
      </c>
      <c r="K71" s="34">
        <f t="shared" si="25"/>
        <v>2621.0399999999995</v>
      </c>
      <c r="L71" s="35" t="str">
        <f t="shared" si="26"/>
        <v>SÍ</v>
      </c>
      <c r="M71" s="39" t="str">
        <f t="shared" si="27"/>
        <v>NO</v>
      </c>
      <c r="P71" s="32" t="str" cm="1">
        <f t="array" ref="P71">IFERROR(INDEX($A$5:$A$104,SMALL(IF(($E$5:$E$104="A")*(ISNUMBER(MATCH($F$5:$F$104,{"1. LLANTAS";"7. MEZANNINE";"5. RACK SIMPLE";"4. RACK BALDA"},0))),ROW($A$5:$A$104)-4),ROW()-56)),"")</f>
        <v>SKU00083</v>
      </c>
      <c r="Q71" s="34">
        <f t="shared" si="18"/>
        <v>408</v>
      </c>
      <c r="R71" s="33" t="str">
        <f t="shared" si="19"/>
        <v>1. LLANTAS</v>
      </c>
      <c r="S71" s="36">
        <f t="shared" si="20"/>
        <v>8.0399999999999991</v>
      </c>
      <c r="T71" s="33" t="str">
        <f t="shared" si="21"/>
        <v>Pastillas</v>
      </c>
      <c r="U71" s="34">
        <f t="shared" si="22"/>
        <v>3280.3199999999997</v>
      </c>
      <c r="V71" s="34">
        <f t="shared" si="23"/>
        <v>652.80000000000007</v>
      </c>
      <c r="W71" s="63">
        <f t="shared" si="24"/>
        <v>2627.5199999999995</v>
      </c>
    </row>
    <row r="72" spans="1:23" x14ac:dyDescent="0.35">
      <c r="A72" s="32" t="str">
        <f>STOCK_ACTUAL!B69</f>
        <v>SKU00068</v>
      </c>
      <c r="B72" s="33" t="str">
        <f>STOCK_ACTUAL!C69</f>
        <v>Marca C</v>
      </c>
      <c r="C72" s="33" t="str">
        <f>STOCK_ACTUAL!D69</f>
        <v>Pastillas</v>
      </c>
      <c r="D72" s="34">
        <f>_xlfn.XLOOKUP($A72,ROTACIÓN!$A$2:$A$101,ROTACIÓN!$B$2:$B$101)</f>
        <v>415</v>
      </c>
      <c r="E72" s="35" t="str">
        <f>_xlfn.XLOOKUP($A72,ROTACIÓN!$A$2:$A$101,ROTACIÓN!$C$2:$C$101)</f>
        <v>A</v>
      </c>
      <c r="F72" s="33" t="str">
        <f>STOCK_ACTUAL!E69</f>
        <v>7. MEZANNINE</v>
      </c>
      <c r="G72" s="36">
        <f>_xlfn.XLOOKUP($F72,LAYOUT_CD!$A$2:$A$10,LAYOUT_CD!$C$2:$C$10)</f>
        <v>6.42</v>
      </c>
      <c r="H72" s="34">
        <f>_xlfn.XLOOKUP($F72,LAYOUT_CD!$A$2:$A$10,LAYOUT_CD!$B$2:$B$10)</f>
        <v>80</v>
      </c>
      <c r="I72" s="37">
        <f>STOCK_ACTUAL!F69</f>
        <v>0.41098864133931778</v>
      </c>
      <c r="J72" s="38">
        <f>STOCK_ACTUAL!G69</f>
        <v>9.7326662647927851</v>
      </c>
      <c r="K72" s="34">
        <f t="shared" si="25"/>
        <v>2664.3</v>
      </c>
      <c r="L72" s="35" t="str">
        <f t="shared" si="26"/>
        <v>SÍ</v>
      </c>
      <c r="M72" s="39" t="str">
        <f t="shared" si="27"/>
        <v>SÍ</v>
      </c>
      <c r="P72" s="32" t="str" cm="1">
        <f t="array" ref="P72">IFERROR(INDEX($A$5:$A$104,SMALL(IF(($E$5:$E$104="A")*(ISNUMBER(MATCH($F$5:$F$104,{"1. LLANTAS";"7. MEZANNINE";"5. RACK SIMPLE";"4. RACK BALDA"},0))),ROW($A$5:$A$104)-4),ROW()-56)),"")</f>
        <v>SKU00084</v>
      </c>
      <c r="Q72" s="34">
        <f t="shared" si="18"/>
        <v>438</v>
      </c>
      <c r="R72" s="33" t="str">
        <f t="shared" si="19"/>
        <v>7. MEZANNINE</v>
      </c>
      <c r="S72" s="36">
        <f t="shared" si="20"/>
        <v>6.42</v>
      </c>
      <c r="T72" s="33" t="str">
        <f t="shared" si="21"/>
        <v>Correas</v>
      </c>
      <c r="U72" s="34">
        <f t="shared" si="22"/>
        <v>2811.96</v>
      </c>
      <c r="V72" s="34">
        <f t="shared" si="23"/>
        <v>700.80000000000007</v>
      </c>
      <c r="W72" s="63">
        <f t="shared" si="24"/>
        <v>2111.16</v>
      </c>
    </row>
    <row r="73" spans="1:23" x14ac:dyDescent="0.35">
      <c r="A73" s="32" t="str">
        <f>STOCK_ACTUAL!B70</f>
        <v>SKU00069</v>
      </c>
      <c r="B73" s="33" t="str">
        <f>STOCK_ACTUAL!C70</f>
        <v>Marca D</v>
      </c>
      <c r="C73" s="33" t="str">
        <f>STOCK_ACTUAL!D70</f>
        <v>Correas</v>
      </c>
      <c r="D73" s="34">
        <f>_xlfn.XLOOKUP($A73,ROTACIÓN!$A$2:$A$101,ROTACIÓN!$B$2:$B$101)</f>
        <v>479</v>
      </c>
      <c r="E73" s="35" t="str">
        <f>_xlfn.XLOOKUP($A73,ROTACIÓN!$A$2:$A$101,ROTACIÓN!$C$2:$C$101)</f>
        <v>A</v>
      </c>
      <c r="F73" s="33" t="str">
        <f>STOCK_ACTUAL!E70</f>
        <v>10. UBICACIÓN RECIBO</v>
      </c>
      <c r="G73" s="36">
        <f>_xlfn.XLOOKUP($F73,LAYOUT_CD!$A$2:$A$10,LAYOUT_CD!$C$2:$C$10)</f>
        <v>2.0099999999999998</v>
      </c>
      <c r="H73" s="34">
        <f>_xlfn.XLOOKUP($F73,LAYOUT_CD!$A$2:$A$10,LAYOUT_CD!$B$2:$B$10)</f>
        <v>15</v>
      </c>
      <c r="I73" s="37">
        <f>STOCK_ACTUAL!F70</f>
        <v>8.3547789655896876E-2</v>
      </c>
      <c r="J73" s="38">
        <f>STOCK_ACTUAL!G70</f>
        <v>2.5183695069608141</v>
      </c>
      <c r="K73" s="34">
        <f t="shared" si="25"/>
        <v>962.78999999999985</v>
      </c>
      <c r="L73" s="35" t="str">
        <f t="shared" si="26"/>
        <v>NO</v>
      </c>
      <c r="M73" s="39" t="str">
        <f t="shared" si="27"/>
        <v>NO</v>
      </c>
      <c r="P73" s="32" t="str" cm="1">
        <f t="array" ref="P73">IFERROR(INDEX($A$5:$A$104,SMALL(IF(($E$5:$E$104="A")*(ISNUMBER(MATCH($F$5:$F$104,{"1. LLANTAS";"7. MEZANNINE";"5. RACK SIMPLE";"4. RACK BALDA"},0))),ROW($A$5:$A$104)-4),ROW()-56)),"")</f>
        <v>SKU00086</v>
      </c>
      <c r="Q73" s="34">
        <f t="shared" si="18"/>
        <v>361</v>
      </c>
      <c r="R73" s="33" t="str">
        <f t="shared" si="19"/>
        <v>1. LLANTAS</v>
      </c>
      <c r="S73" s="36">
        <f t="shared" si="20"/>
        <v>8.0399999999999991</v>
      </c>
      <c r="T73" s="33" t="str">
        <f t="shared" si="21"/>
        <v>Filtros</v>
      </c>
      <c r="U73" s="34">
        <f t="shared" si="22"/>
        <v>2902.4399999999996</v>
      </c>
      <c r="V73" s="34">
        <f t="shared" si="23"/>
        <v>577.6</v>
      </c>
      <c r="W73" s="63">
        <f t="shared" si="24"/>
        <v>2324.8399999999997</v>
      </c>
    </row>
    <row r="74" spans="1:23" x14ac:dyDescent="0.35">
      <c r="A74" s="32" t="str">
        <f>STOCK_ACTUAL!B71</f>
        <v>SKU00070</v>
      </c>
      <c r="B74" s="33" t="str">
        <f>STOCK_ACTUAL!C71</f>
        <v>Marca E</v>
      </c>
      <c r="C74" s="33" t="str">
        <f>STOCK_ACTUAL!D71</f>
        <v>Soportes</v>
      </c>
      <c r="D74" s="34">
        <f>_xlfn.XLOOKUP($A74,ROTACIÓN!$A$2:$A$101,ROTACIÓN!$B$2:$B$101)</f>
        <v>117</v>
      </c>
      <c r="E74" s="35" t="str">
        <f>_xlfn.XLOOKUP($A74,ROTACIÓN!$A$2:$A$101,ROTACIÓN!$C$2:$C$101)</f>
        <v>C</v>
      </c>
      <c r="F74" s="33" t="str">
        <f>STOCK_ACTUAL!E71</f>
        <v>4. RACK BALDA</v>
      </c>
      <c r="G74" s="36">
        <f>_xlfn.XLOOKUP($F74,LAYOUT_CD!$A$2:$A$10,LAYOUT_CD!$C$2:$C$10)</f>
        <v>4.82</v>
      </c>
      <c r="H74" s="34">
        <f>_xlfn.XLOOKUP($F74,LAYOUT_CD!$A$2:$A$10,LAYOUT_CD!$B$2:$B$10)</f>
        <v>60</v>
      </c>
      <c r="I74" s="37">
        <f>STOCK_ACTUAL!F71</f>
        <v>0.49409912147023283</v>
      </c>
      <c r="J74" s="38">
        <f>STOCK_ACTUAL!G71</f>
        <v>29.749200687817972</v>
      </c>
      <c r="K74" s="34">
        <f t="shared" si="25"/>
        <v>563.94000000000005</v>
      </c>
      <c r="L74" s="35" t="str">
        <f t="shared" si="26"/>
        <v>SÍ</v>
      </c>
      <c r="M74" s="39" t="str">
        <f t="shared" si="27"/>
        <v>NO</v>
      </c>
      <c r="P74" s="64" t="str" cm="1">
        <f t="array" ref="P74">IFERROR(INDEX($A$5:$A$104,SMALL(IF(($E$5:$E$104="A")*(ISNUMBER(MATCH($F$5:$F$104,{"1. LLANTAS";"7. MEZANNINE";"5. RACK SIMPLE";"4. RACK BALDA"},0))),ROW($A$5:$A$104)-4),ROW()-56)),"")</f>
        <v>SKU00095</v>
      </c>
      <c r="Q74" s="66">
        <f t="shared" si="18"/>
        <v>402</v>
      </c>
      <c r="R74" s="70" t="str">
        <f t="shared" si="19"/>
        <v>4. RACK BALDA</v>
      </c>
      <c r="S74" s="71">
        <f t="shared" si="20"/>
        <v>4.82</v>
      </c>
      <c r="T74" s="70" t="str">
        <f t="shared" si="21"/>
        <v>Soportes</v>
      </c>
      <c r="U74" s="66">
        <f t="shared" si="22"/>
        <v>1937.64</v>
      </c>
      <c r="V74" s="66">
        <f t="shared" si="23"/>
        <v>643.20000000000005</v>
      </c>
      <c r="W74" s="67">
        <f t="shared" si="24"/>
        <v>1294.44</v>
      </c>
    </row>
    <row r="75" spans="1:23" x14ac:dyDescent="0.35">
      <c r="A75" s="32" t="str">
        <f>STOCK_ACTUAL!B72</f>
        <v>SKU00071</v>
      </c>
      <c r="B75" s="33" t="str">
        <f>STOCK_ACTUAL!C72</f>
        <v>Marca A</v>
      </c>
      <c r="C75" s="33" t="str">
        <f>STOCK_ACTUAL!D72</f>
        <v>Filtros</v>
      </c>
      <c r="D75" s="34">
        <f>_xlfn.XLOOKUP($A75,ROTACIÓN!$A$2:$A$101,ROTACIÓN!$B$2:$B$101)</f>
        <v>85</v>
      </c>
      <c r="E75" s="35" t="str">
        <f>_xlfn.XLOOKUP($A75,ROTACIÓN!$A$2:$A$101,ROTACIÓN!$C$2:$C$101)</f>
        <v>C</v>
      </c>
      <c r="F75" s="33" t="str">
        <f>STOCK_ACTUAL!E72</f>
        <v>4. RACK BALDA</v>
      </c>
      <c r="G75" s="36">
        <f>_xlfn.XLOOKUP($F75,LAYOUT_CD!$A$2:$A$10,LAYOUT_CD!$C$2:$C$10)</f>
        <v>4.82</v>
      </c>
      <c r="H75" s="34">
        <f>_xlfn.XLOOKUP($F75,LAYOUT_CD!$A$2:$A$10,LAYOUT_CD!$B$2:$B$10)</f>
        <v>60</v>
      </c>
      <c r="I75" s="37">
        <f>STOCK_ACTUAL!F72</f>
        <v>0.39751014618349578</v>
      </c>
      <c r="J75" s="38">
        <f>STOCK_ACTUAL!G72</f>
        <v>34.039435911192982</v>
      </c>
      <c r="K75" s="34">
        <f t="shared" si="25"/>
        <v>409.70000000000005</v>
      </c>
      <c r="L75" s="35" t="str">
        <f t="shared" si="26"/>
        <v>SÍ</v>
      </c>
      <c r="M75" s="39" t="str">
        <f t="shared" si="27"/>
        <v>NO</v>
      </c>
    </row>
    <row r="76" spans="1:23" x14ac:dyDescent="0.35">
      <c r="A76" s="32" t="str">
        <f>STOCK_ACTUAL!B73</f>
        <v>SKU00072</v>
      </c>
      <c r="B76" s="33" t="str">
        <f>STOCK_ACTUAL!C73</f>
        <v>Marca B</v>
      </c>
      <c r="C76" s="33" t="str">
        <f>STOCK_ACTUAL!D73</f>
        <v>Lubricantes</v>
      </c>
      <c r="D76" s="34">
        <f>_xlfn.XLOOKUP($A76,ROTACIÓN!$A$2:$A$101,ROTACIÓN!$B$2:$B$101)</f>
        <v>122</v>
      </c>
      <c r="E76" s="35" t="str">
        <f>_xlfn.XLOOKUP($A76,ROTACIÓN!$A$2:$A$101,ROTACIÓN!$C$2:$C$101)</f>
        <v>C</v>
      </c>
      <c r="F76" s="33" t="str">
        <f>STOCK_ACTUAL!E73</f>
        <v>1. LLANTAS</v>
      </c>
      <c r="G76" s="36">
        <f>_xlfn.XLOOKUP($F76,LAYOUT_CD!$A$2:$A$10,LAYOUT_CD!$C$2:$C$10)</f>
        <v>8.0399999999999991</v>
      </c>
      <c r="H76" s="34">
        <f>_xlfn.XLOOKUP($F76,LAYOUT_CD!$A$2:$A$10,LAYOUT_CD!$B$2:$B$10)</f>
        <v>100</v>
      </c>
      <c r="I76" s="37">
        <f>STOCK_ACTUAL!F73</f>
        <v>0.1394220566903776</v>
      </c>
      <c r="J76" s="38">
        <f>STOCK_ACTUAL!G73</f>
        <v>1.32109753192888</v>
      </c>
      <c r="K76" s="34">
        <f t="shared" si="25"/>
        <v>980.87999999999988</v>
      </c>
      <c r="L76" s="35" t="str">
        <f t="shared" si="26"/>
        <v>SÍ</v>
      </c>
      <c r="M76" s="39" t="str">
        <f t="shared" si="27"/>
        <v>NO</v>
      </c>
      <c r="P76" s="53" t="s">
        <v>345</v>
      </c>
      <c r="Q76" s="54">
        <f>SUM(Q57:Q74)</f>
        <v>7534</v>
      </c>
      <c r="R76" s="53"/>
      <c r="S76" s="53"/>
      <c r="T76" s="53"/>
      <c r="U76" s="54">
        <f>SUM(U57:U74)</f>
        <v>45069.549999999996</v>
      </c>
      <c r="V76" s="54">
        <f>SUM(V57:V74)</f>
        <v>12054.4</v>
      </c>
      <c r="W76" s="54">
        <f>SUM(W57:W74)</f>
        <v>33015.149999999994</v>
      </c>
    </row>
    <row r="77" spans="1:23" x14ac:dyDescent="0.35">
      <c r="A77" s="32" t="str">
        <f>STOCK_ACTUAL!B74</f>
        <v>SKU00073</v>
      </c>
      <c r="B77" s="33" t="str">
        <f>STOCK_ACTUAL!C74</f>
        <v>Marca C</v>
      </c>
      <c r="C77" s="33" t="str">
        <f>STOCK_ACTUAL!D74</f>
        <v>Pastillas</v>
      </c>
      <c r="D77" s="34">
        <f>_xlfn.XLOOKUP($A77,ROTACIÓN!$A$2:$A$101,ROTACIÓN!$B$2:$B$101)</f>
        <v>141</v>
      </c>
      <c r="E77" s="35" t="str">
        <f>_xlfn.XLOOKUP($A77,ROTACIÓN!$A$2:$A$101,ROTACIÓN!$C$2:$C$101)</f>
        <v>C</v>
      </c>
      <c r="F77" s="33" t="str">
        <f>STOCK_ACTUAL!E74</f>
        <v>2. PISO</v>
      </c>
      <c r="G77" s="36">
        <f>_xlfn.XLOOKUP($F77,LAYOUT_CD!$A$2:$A$10,LAYOUT_CD!$C$2:$C$10)</f>
        <v>1.6</v>
      </c>
      <c r="H77" s="34">
        <f>_xlfn.XLOOKUP($F77,LAYOUT_CD!$A$2:$A$10,LAYOUT_CD!$B$2:$B$10)</f>
        <v>10</v>
      </c>
      <c r="I77" s="37">
        <f>STOCK_ACTUAL!F74</f>
        <v>5.2484952705621077E-2</v>
      </c>
      <c r="J77" s="38">
        <f>STOCK_ACTUAL!G74</f>
        <v>25.84860638581441</v>
      </c>
      <c r="K77" s="34">
        <f t="shared" si="25"/>
        <v>225.60000000000002</v>
      </c>
      <c r="L77" s="35" t="str">
        <f t="shared" si="26"/>
        <v>NO</v>
      </c>
      <c r="M77" s="39" t="str">
        <f t="shared" si="27"/>
        <v>NO</v>
      </c>
    </row>
    <row r="78" spans="1:23" x14ac:dyDescent="0.35">
      <c r="A78" s="32" t="str">
        <f>STOCK_ACTUAL!B75</f>
        <v>SKU00074</v>
      </c>
      <c r="B78" s="33" t="str">
        <f>STOCK_ACTUAL!C75</f>
        <v>Marca D</v>
      </c>
      <c r="C78" s="33" t="str">
        <f>STOCK_ACTUAL!D75</f>
        <v>Correas</v>
      </c>
      <c r="D78" s="34">
        <f>_xlfn.XLOOKUP($A78,ROTACIÓN!$A$2:$A$101,ROTACIÓN!$B$2:$B$101)</f>
        <v>299</v>
      </c>
      <c r="E78" s="35" t="str">
        <f>_xlfn.XLOOKUP($A78,ROTACIÓN!$A$2:$A$101,ROTACIÓN!$C$2:$C$101)</f>
        <v>B</v>
      </c>
      <c r="F78" s="33" t="str">
        <f>STOCK_ACTUAL!E75</f>
        <v>1. LLANTAS</v>
      </c>
      <c r="G78" s="36">
        <f>_xlfn.XLOOKUP($F78,LAYOUT_CD!$A$2:$A$10,LAYOUT_CD!$C$2:$C$10)</f>
        <v>8.0399999999999991</v>
      </c>
      <c r="H78" s="34">
        <f>_xlfn.XLOOKUP($F78,LAYOUT_CD!$A$2:$A$10,LAYOUT_CD!$B$2:$B$10)</f>
        <v>100</v>
      </c>
      <c r="I78" s="37">
        <f>STOCK_ACTUAL!F75</f>
        <v>0.41695764280467529</v>
      </c>
      <c r="J78" s="38">
        <f>STOCK_ACTUAL!G75</f>
        <v>11.711540872297929</v>
      </c>
      <c r="K78" s="34">
        <f t="shared" si="25"/>
        <v>2403.9599999999996</v>
      </c>
      <c r="L78" s="35" t="str">
        <f t="shared" si="26"/>
        <v>SÍ</v>
      </c>
      <c r="M78" s="39" t="str">
        <f t="shared" si="27"/>
        <v>NO</v>
      </c>
    </row>
    <row r="79" spans="1:23" x14ac:dyDescent="0.35">
      <c r="A79" s="32" t="str">
        <f>STOCK_ACTUAL!B76</f>
        <v>SKU00075</v>
      </c>
      <c r="B79" s="33" t="str">
        <f>STOCK_ACTUAL!C76</f>
        <v>Marca E</v>
      </c>
      <c r="C79" s="33" t="str">
        <f>STOCK_ACTUAL!D76</f>
        <v>Soportes</v>
      </c>
      <c r="D79" s="34">
        <f>_xlfn.XLOOKUP($A79,ROTACIÓN!$A$2:$A$101,ROTACIÓN!$B$2:$B$101)</f>
        <v>359</v>
      </c>
      <c r="E79" s="35" t="str">
        <f>_xlfn.XLOOKUP($A79,ROTACIÓN!$A$2:$A$101,ROTACIÓN!$C$2:$C$101)</f>
        <v>A</v>
      </c>
      <c r="F79" s="33" t="str">
        <f>STOCK_ACTUAL!E76</f>
        <v>7. MEZANNINE</v>
      </c>
      <c r="G79" s="36">
        <f>_xlfn.XLOOKUP($F79,LAYOUT_CD!$A$2:$A$10,LAYOUT_CD!$C$2:$C$10)</f>
        <v>6.42</v>
      </c>
      <c r="H79" s="34">
        <f>_xlfn.XLOOKUP($F79,LAYOUT_CD!$A$2:$A$10,LAYOUT_CD!$B$2:$B$10)</f>
        <v>80</v>
      </c>
      <c r="I79" s="37">
        <f>STOCK_ACTUAL!F76</f>
        <v>0.36808580473142771</v>
      </c>
      <c r="J79" s="38">
        <f>STOCK_ACTUAL!G76</f>
        <v>32.436053125267769</v>
      </c>
      <c r="K79" s="34">
        <f t="shared" si="25"/>
        <v>2304.7800000000002</v>
      </c>
      <c r="L79" s="35" t="str">
        <f t="shared" si="26"/>
        <v>SÍ</v>
      </c>
      <c r="M79" s="39" t="str">
        <f t="shared" si="27"/>
        <v>SÍ</v>
      </c>
    </row>
    <row r="80" spans="1:23" x14ac:dyDescent="0.35">
      <c r="A80" s="32" t="str">
        <f>STOCK_ACTUAL!B77</f>
        <v>SKU00076</v>
      </c>
      <c r="B80" s="33" t="str">
        <f>STOCK_ACTUAL!C77</f>
        <v>Marca A</v>
      </c>
      <c r="C80" s="33" t="str">
        <f>STOCK_ACTUAL!D77</f>
        <v>Filtros</v>
      </c>
      <c r="D80" s="34">
        <f>_xlfn.XLOOKUP($A80,ROTACIÓN!$A$2:$A$101,ROTACIÓN!$B$2:$B$101)</f>
        <v>202</v>
      </c>
      <c r="E80" s="35" t="str">
        <f>_xlfn.XLOOKUP($A80,ROTACIÓN!$A$2:$A$101,ROTACIÓN!$C$2:$C$101)</f>
        <v>C</v>
      </c>
      <c r="F80" s="33" t="str">
        <f>STOCK_ACTUAL!E77</f>
        <v>8. CLUSTER</v>
      </c>
      <c r="G80" s="36">
        <f>_xlfn.XLOOKUP($F80,LAYOUT_CD!$A$2:$A$10,LAYOUT_CD!$C$2:$C$10)</f>
        <v>4.01</v>
      </c>
      <c r="H80" s="34">
        <f>_xlfn.XLOOKUP($F80,LAYOUT_CD!$A$2:$A$10,LAYOUT_CD!$B$2:$B$10)</f>
        <v>50</v>
      </c>
      <c r="I80" s="37">
        <f>STOCK_ACTUAL!F77</f>
        <v>0.37805322561844429</v>
      </c>
      <c r="J80" s="38">
        <f>STOCK_ACTUAL!G77</f>
        <v>9.1311382357470769</v>
      </c>
      <c r="K80" s="34">
        <f t="shared" si="25"/>
        <v>810.02</v>
      </c>
      <c r="L80" s="35" t="str">
        <f t="shared" si="26"/>
        <v>SÍ</v>
      </c>
      <c r="M80" s="39" t="str">
        <f t="shared" si="27"/>
        <v>NO</v>
      </c>
    </row>
    <row r="81" spans="1:24" x14ac:dyDescent="0.35">
      <c r="A81" s="32" t="str">
        <f>STOCK_ACTUAL!B78</f>
        <v>SKU00077</v>
      </c>
      <c r="B81" s="33" t="str">
        <f>STOCK_ACTUAL!C78</f>
        <v>Marca B</v>
      </c>
      <c r="C81" s="33" t="str">
        <f>STOCK_ACTUAL!D78</f>
        <v>Lubricantes</v>
      </c>
      <c r="D81" s="34">
        <f>_xlfn.XLOOKUP($A81,ROTACIÓN!$A$2:$A$101,ROTACIÓN!$B$2:$B$101)</f>
        <v>103</v>
      </c>
      <c r="E81" s="35" t="str">
        <f>_xlfn.XLOOKUP($A81,ROTACIÓN!$A$2:$A$101,ROTACIÓN!$C$2:$C$101)</f>
        <v>C</v>
      </c>
      <c r="F81" s="33" t="str">
        <f>STOCK_ACTUAL!E78</f>
        <v>4. RACK BALDA</v>
      </c>
      <c r="G81" s="36">
        <f>_xlfn.XLOOKUP($F81,LAYOUT_CD!$A$2:$A$10,LAYOUT_CD!$C$2:$C$10)</f>
        <v>4.82</v>
      </c>
      <c r="H81" s="34">
        <f>_xlfn.XLOOKUP($F81,LAYOUT_CD!$A$2:$A$10,LAYOUT_CD!$B$2:$B$10)</f>
        <v>60</v>
      </c>
      <c r="I81" s="37">
        <f>STOCK_ACTUAL!F78</f>
        <v>0.39707165600867561</v>
      </c>
      <c r="J81" s="38">
        <f>STOCK_ACTUAL!G78</f>
        <v>34.701418036072063</v>
      </c>
      <c r="K81" s="34">
        <f t="shared" si="25"/>
        <v>496.46000000000004</v>
      </c>
      <c r="L81" s="35" t="str">
        <f t="shared" si="26"/>
        <v>SÍ</v>
      </c>
      <c r="M81" s="39" t="str">
        <f t="shared" si="27"/>
        <v>NO</v>
      </c>
    </row>
    <row r="82" spans="1:24" x14ac:dyDescent="0.35">
      <c r="A82" s="32" t="str">
        <f>STOCK_ACTUAL!B79</f>
        <v>SKU00078</v>
      </c>
      <c r="B82" s="33" t="str">
        <f>STOCK_ACTUAL!C79</f>
        <v>Marca C</v>
      </c>
      <c r="C82" s="33" t="str">
        <f>STOCK_ACTUAL!D79</f>
        <v>Pastillas</v>
      </c>
      <c r="D82" s="34">
        <f>_xlfn.XLOOKUP($A82,ROTACIÓN!$A$2:$A$101,ROTACIÓN!$B$2:$B$101)</f>
        <v>485</v>
      </c>
      <c r="E82" s="35" t="str">
        <f>_xlfn.XLOOKUP($A82,ROTACIÓN!$A$2:$A$101,ROTACIÓN!$C$2:$C$101)</f>
        <v>A</v>
      </c>
      <c r="F82" s="33" t="str">
        <f>STOCK_ACTUAL!E79</f>
        <v>1. LLANTAS</v>
      </c>
      <c r="G82" s="36">
        <f>_xlfn.XLOOKUP($F82,LAYOUT_CD!$A$2:$A$10,LAYOUT_CD!$C$2:$C$10)</f>
        <v>8.0399999999999991</v>
      </c>
      <c r="H82" s="34">
        <f>_xlfn.XLOOKUP($F82,LAYOUT_CD!$A$2:$A$10,LAYOUT_CD!$B$2:$B$10)</f>
        <v>100</v>
      </c>
      <c r="I82" s="37">
        <f>STOCK_ACTUAL!F79</f>
        <v>8.3320093280340665E-2</v>
      </c>
      <c r="J82" s="38">
        <f>STOCK_ACTUAL!G79</f>
        <v>19.643399641876599</v>
      </c>
      <c r="K82" s="34">
        <f t="shared" si="25"/>
        <v>3899.3999999999996</v>
      </c>
      <c r="L82" s="35" t="str">
        <f t="shared" si="26"/>
        <v>SÍ</v>
      </c>
      <c r="M82" s="39" t="str">
        <f t="shared" si="27"/>
        <v>SÍ</v>
      </c>
    </row>
    <row r="83" spans="1:24" x14ac:dyDescent="0.35">
      <c r="A83" s="32" t="str">
        <f>STOCK_ACTUAL!B80</f>
        <v>SKU00079</v>
      </c>
      <c r="B83" s="33" t="str">
        <f>STOCK_ACTUAL!C80</f>
        <v>Marca D</v>
      </c>
      <c r="C83" s="33" t="str">
        <f>STOCK_ACTUAL!D80</f>
        <v>Correas</v>
      </c>
      <c r="D83" s="34">
        <f>_xlfn.XLOOKUP($A83,ROTACIÓN!$A$2:$A$101,ROTACIÓN!$B$2:$B$101)</f>
        <v>173</v>
      </c>
      <c r="E83" s="35" t="str">
        <f>_xlfn.XLOOKUP($A83,ROTACIÓN!$A$2:$A$101,ROTACIÓN!$C$2:$C$101)</f>
        <v>C</v>
      </c>
      <c r="F83" s="33" t="str">
        <f>STOCK_ACTUAL!E80</f>
        <v>4. RACK BALDA</v>
      </c>
      <c r="G83" s="36">
        <f>_xlfn.XLOOKUP($F83,LAYOUT_CD!$A$2:$A$10,LAYOUT_CD!$C$2:$C$10)</f>
        <v>4.82</v>
      </c>
      <c r="H83" s="34">
        <f>_xlfn.XLOOKUP($F83,LAYOUT_CD!$A$2:$A$10,LAYOUT_CD!$B$2:$B$10)</f>
        <v>60</v>
      </c>
      <c r="I83" s="37">
        <f>STOCK_ACTUAL!F80</f>
        <v>0.21130957784492271</v>
      </c>
      <c r="J83" s="38">
        <f>STOCK_ACTUAL!G80</f>
        <v>46.86813444246836</v>
      </c>
      <c r="K83" s="34">
        <f t="shared" si="25"/>
        <v>833.86</v>
      </c>
      <c r="L83" s="35" t="str">
        <f t="shared" si="26"/>
        <v>SÍ</v>
      </c>
      <c r="M83" s="39" t="str">
        <f t="shared" si="27"/>
        <v>NO</v>
      </c>
    </row>
    <row r="84" spans="1:24" x14ac:dyDescent="0.35">
      <c r="A84" s="32" t="str">
        <f>STOCK_ACTUAL!B81</f>
        <v>SKU00080</v>
      </c>
      <c r="B84" s="33" t="str">
        <f>STOCK_ACTUAL!C81</f>
        <v>Marca E</v>
      </c>
      <c r="C84" s="33" t="str">
        <f>STOCK_ACTUAL!D81</f>
        <v>Soportes</v>
      </c>
      <c r="D84" s="34">
        <f>_xlfn.XLOOKUP($A84,ROTACIÓN!$A$2:$A$101,ROTACIÓN!$B$2:$B$101)</f>
        <v>127</v>
      </c>
      <c r="E84" s="35" t="str">
        <f>_xlfn.XLOOKUP($A84,ROTACIÓN!$A$2:$A$101,ROTACIÓN!$C$2:$C$101)</f>
        <v>C</v>
      </c>
      <c r="F84" s="33" t="str">
        <f>STOCK_ACTUAL!E81</f>
        <v>2. PISO</v>
      </c>
      <c r="G84" s="36">
        <f>_xlfn.XLOOKUP($F84,LAYOUT_CD!$A$2:$A$10,LAYOUT_CD!$C$2:$C$10)</f>
        <v>1.6</v>
      </c>
      <c r="H84" s="34">
        <f>_xlfn.XLOOKUP($F84,LAYOUT_CD!$A$2:$A$10,LAYOUT_CD!$B$2:$B$10)</f>
        <v>10</v>
      </c>
      <c r="I84" s="37">
        <f>STOCK_ACTUAL!F81</f>
        <v>0.1021410767863084</v>
      </c>
      <c r="J84" s="38">
        <f>STOCK_ACTUAL!G81</f>
        <v>7.3072867352266657</v>
      </c>
      <c r="K84" s="34">
        <f t="shared" si="25"/>
        <v>203.20000000000002</v>
      </c>
      <c r="L84" s="35" t="str">
        <f t="shared" si="26"/>
        <v>NO</v>
      </c>
      <c r="M84" s="39" t="str">
        <f t="shared" si="27"/>
        <v>NO</v>
      </c>
      <c r="P84" s="55" t="s">
        <v>346</v>
      </c>
      <c r="Q84" s="30" t="s">
        <v>347</v>
      </c>
      <c r="R84" s="30" t="s">
        <v>348</v>
      </c>
      <c r="S84" s="30" t="s">
        <v>349</v>
      </c>
      <c r="T84" s="30" t="s">
        <v>350</v>
      </c>
      <c r="U84" s="30" t="s">
        <v>351</v>
      </c>
      <c r="V84" s="30" t="s">
        <v>352</v>
      </c>
      <c r="W84" s="30" t="s">
        <v>353</v>
      </c>
      <c r="X84" s="31" t="s">
        <v>354</v>
      </c>
    </row>
    <row r="85" spans="1:24" x14ac:dyDescent="0.35">
      <c r="A85" s="32" t="str">
        <f>STOCK_ACTUAL!B82</f>
        <v>SKU00081</v>
      </c>
      <c r="B85" s="33" t="str">
        <f>STOCK_ACTUAL!C82</f>
        <v>Marca A</v>
      </c>
      <c r="C85" s="33" t="str">
        <f>STOCK_ACTUAL!D82</f>
        <v>Filtros</v>
      </c>
      <c r="D85" s="34">
        <f>_xlfn.XLOOKUP($A85,ROTACIÓN!$A$2:$A$101,ROTACIÓN!$B$2:$B$101)</f>
        <v>395</v>
      </c>
      <c r="E85" s="35" t="str">
        <f>_xlfn.XLOOKUP($A85,ROTACIÓN!$A$2:$A$101,ROTACIÓN!$C$2:$C$101)</f>
        <v>A</v>
      </c>
      <c r="F85" s="33" t="str">
        <f>STOCK_ACTUAL!E82</f>
        <v>8. CLUSTER</v>
      </c>
      <c r="G85" s="36">
        <f>_xlfn.XLOOKUP($F85,LAYOUT_CD!$A$2:$A$10,LAYOUT_CD!$C$2:$C$10)</f>
        <v>4.01</v>
      </c>
      <c r="H85" s="34">
        <f>_xlfn.XLOOKUP($F85,LAYOUT_CD!$A$2:$A$10,LAYOUT_CD!$B$2:$B$10)</f>
        <v>50</v>
      </c>
      <c r="I85" s="37">
        <f>STOCK_ACTUAL!F82</f>
        <v>0.43839654164401709</v>
      </c>
      <c r="J85" s="38">
        <f>STOCK_ACTUAL!G82</f>
        <v>17.3827843769878</v>
      </c>
      <c r="K85" s="34">
        <f t="shared" si="25"/>
        <v>1583.9499999999998</v>
      </c>
      <c r="L85" s="35" t="str">
        <f t="shared" si="26"/>
        <v>SÍ</v>
      </c>
      <c r="M85" s="39" t="str">
        <f t="shared" si="27"/>
        <v>SÍ</v>
      </c>
      <c r="P85" s="32" t="s">
        <v>50</v>
      </c>
      <c r="Q85" s="38">
        <f>_xlfn.MINIFS($J$5:$J$104,$C$5:$C$104,$P85)</f>
        <v>2.055744691493345</v>
      </c>
      <c r="R85" s="38" cm="1">
        <f t="array" ref="R85">QUARTILE(IF($C$5:$C$104=$P85,$J$5:$J$104),1)</f>
        <v>12.750407992106799</v>
      </c>
      <c r="S85" s="38" cm="1">
        <f t="array" ref="S85">MEDIAN(IF($C$5:$C$104=$P85,$J$5:$J$104))</f>
        <v>18.245569506464868</v>
      </c>
      <c r="T85" s="38" cm="1">
        <f t="array" ref="T85">QUARTILE(IF($C$5:$C$104=$P85,$J$5:$J$104),3)</f>
        <v>35.646648853550012</v>
      </c>
      <c r="U85" s="38">
        <f>_xlfn.MAXIFS($J$5:$J$104,$C$5:$C$104,$P85)</f>
        <v>48.141141099634503</v>
      </c>
      <c r="V85" s="38">
        <f>AVERAGEIF($C$5:$C$104,$P85,$J$5:$J$104)</f>
        <v>22.936196490943008</v>
      </c>
      <c r="W85" s="38">
        <f>$T85-$R85</f>
        <v>22.896240861443211</v>
      </c>
      <c r="X85" s="63">
        <f>COUNTIFS($C$5:$C$104,$P85,$J$5:$J$104,"&gt;40")</f>
        <v>5</v>
      </c>
    </row>
    <row r="86" spans="1:24" x14ac:dyDescent="0.35">
      <c r="A86" s="32" t="str">
        <f>STOCK_ACTUAL!B83</f>
        <v>SKU00082</v>
      </c>
      <c r="B86" s="33" t="str">
        <f>STOCK_ACTUAL!C83</f>
        <v>Marca B</v>
      </c>
      <c r="C86" s="33" t="str">
        <f>STOCK_ACTUAL!D83</f>
        <v>Lubricantes</v>
      </c>
      <c r="D86" s="34">
        <f>_xlfn.XLOOKUP($A86,ROTACIÓN!$A$2:$A$101,ROTACIÓN!$B$2:$B$101)</f>
        <v>382</v>
      </c>
      <c r="E86" s="35" t="str">
        <f>_xlfn.XLOOKUP($A86,ROTACIÓN!$A$2:$A$101,ROTACIÓN!$C$2:$C$101)</f>
        <v>A</v>
      </c>
      <c r="F86" s="33" t="str">
        <f>STOCK_ACTUAL!E83</f>
        <v>4. RACK BALDA</v>
      </c>
      <c r="G86" s="36">
        <f>_xlfn.XLOOKUP($F86,LAYOUT_CD!$A$2:$A$10,LAYOUT_CD!$C$2:$C$10)</f>
        <v>4.82</v>
      </c>
      <c r="H86" s="34">
        <f>_xlfn.XLOOKUP($F86,LAYOUT_CD!$A$2:$A$10,LAYOUT_CD!$B$2:$B$10)</f>
        <v>60</v>
      </c>
      <c r="I86" s="37">
        <f>STOCK_ACTUAL!F83</f>
        <v>0.33048415707240109</v>
      </c>
      <c r="J86" s="38">
        <f>STOCK_ACTUAL!G83</f>
        <v>6.1169393014091593</v>
      </c>
      <c r="K86" s="34">
        <f t="shared" si="25"/>
        <v>1841.24</v>
      </c>
      <c r="L86" s="35" t="str">
        <f t="shared" si="26"/>
        <v>SÍ</v>
      </c>
      <c r="M86" s="39" t="str">
        <f t="shared" si="27"/>
        <v>SÍ</v>
      </c>
      <c r="P86" s="32" t="s">
        <v>53</v>
      </c>
      <c r="Q86" s="38">
        <f t="shared" ref="Q86:Q89" si="28">_xlfn.MINIFS($J$5:$J$104,$C$5:$C$104,$P86)</f>
        <v>1.32109753192888</v>
      </c>
      <c r="R86" s="38" cm="1">
        <f t="array" ref="R86">QUARTILE(IF($C$5:$C$104=$P86,$J$5:$J$104),1)</f>
        <v>12.811996129520431</v>
      </c>
      <c r="S86" s="38" cm="1">
        <f t="array" ref="S86">MEDIAN(IF($C$5:$C$104=$P86,$J$5:$J$104))</f>
        <v>31.236286573193535</v>
      </c>
      <c r="T86" s="38" cm="1">
        <f t="array" ref="T86">QUARTILE(IF($C$5:$C$104=$P86,$J$5:$J$104),3)</f>
        <v>37.39654652968418</v>
      </c>
      <c r="U86" s="38">
        <f t="shared" ref="U86:U89" si="29">_xlfn.MAXIFS($J$5:$J$104,$C$5:$C$104,$P86)</f>
        <v>44.912180018689668</v>
      </c>
      <c r="V86" s="38">
        <f t="shared" ref="V86:V89" si="30">AVERAGEIF($C$5:$C$104,$P86,$J$5:$J$104)</f>
        <v>26.374179365998039</v>
      </c>
      <c r="W86" s="38">
        <f t="shared" ref="W86:W89" si="31">$T86-$R86</f>
        <v>24.584550400163749</v>
      </c>
      <c r="X86" s="63">
        <f t="shared" ref="X86:X89" si="32">COUNTIFS($C$5:$C$104,$P86,$J$5:$J$104,"&gt;40")</f>
        <v>5</v>
      </c>
    </row>
    <row r="87" spans="1:24" x14ac:dyDescent="0.35">
      <c r="A87" s="32" t="str">
        <f>STOCK_ACTUAL!B84</f>
        <v>SKU00083</v>
      </c>
      <c r="B87" s="33" t="str">
        <f>STOCK_ACTUAL!C84</f>
        <v>Marca C</v>
      </c>
      <c r="C87" s="33" t="str">
        <f>STOCK_ACTUAL!D84</f>
        <v>Pastillas</v>
      </c>
      <c r="D87" s="34">
        <f>_xlfn.XLOOKUP($A87,ROTACIÓN!$A$2:$A$101,ROTACIÓN!$B$2:$B$101)</f>
        <v>408</v>
      </c>
      <c r="E87" s="35" t="str">
        <f>_xlfn.XLOOKUP($A87,ROTACIÓN!$A$2:$A$101,ROTACIÓN!$C$2:$C$101)</f>
        <v>A</v>
      </c>
      <c r="F87" s="33" t="str">
        <f>STOCK_ACTUAL!E84</f>
        <v>1. LLANTAS</v>
      </c>
      <c r="G87" s="36">
        <f>_xlfn.XLOOKUP($F87,LAYOUT_CD!$A$2:$A$10,LAYOUT_CD!$C$2:$C$10)</f>
        <v>8.0399999999999991</v>
      </c>
      <c r="H87" s="34">
        <f>_xlfn.XLOOKUP($F87,LAYOUT_CD!$A$2:$A$10,LAYOUT_CD!$B$2:$B$10)</f>
        <v>100</v>
      </c>
      <c r="I87" s="37">
        <f>STOCK_ACTUAL!F84</f>
        <v>0.19890411118369219</v>
      </c>
      <c r="J87" s="38">
        <f>STOCK_ACTUAL!G84</f>
        <v>46.272334104788861</v>
      </c>
      <c r="K87" s="34">
        <f t="shared" si="25"/>
        <v>3280.3199999999997</v>
      </c>
      <c r="L87" s="35" t="str">
        <f t="shared" si="26"/>
        <v>SÍ</v>
      </c>
      <c r="M87" s="39" t="str">
        <f t="shared" si="27"/>
        <v>SÍ</v>
      </c>
      <c r="P87" s="32" t="s">
        <v>56</v>
      </c>
      <c r="Q87" s="38">
        <f t="shared" si="28"/>
        <v>6.4333356830172992</v>
      </c>
      <c r="R87" s="38" cm="1">
        <f t="array" ref="R87">QUARTILE(IF($C$5:$C$104=$P87,$J$5:$J$104),1)</f>
        <v>16.196034274149987</v>
      </c>
      <c r="S87" s="38" cm="1">
        <f t="array" ref="S87">MEDIAN(IF($C$5:$C$104=$P87,$J$5:$J$104))</f>
        <v>26.915523279993895</v>
      </c>
      <c r="T87" s="38" cm="1">
        <f t="array" ref="T87">QUARTILE(IF($C$5:$C$104=$P87,$J$5:$J$104),3)</f>
        <v>39.426669186875891</v>
      </c>
      <c r="U87" s="38">
        <f t="shared" si="29"/>
        <v>46.520033790957363</v>
      </c>
      <c r="V87" s="38">
        <f t="shared" si="30"/>
        <v>27.949073146386826</v>
      </c>
      <c r="W87" s="38">
        <f t="shared" si="31"/>
        <v>23.230634912725904</v>
      </c>
      <c r="X87" s="63">
        <f t="shared" si="32"/>
        <v>5</v>
      </c>
    </row>
    <row r="88" spans="1:24" x14ac:dyDescent="0.35">
      <c r="A88" s="32" t="str">
        <f>STOCK_ACTUAL!B85</f>
        <v>SKU00084</v>
      </c>
      <c r="B88" s="33" t="str">
        <f>STOCK_ACTUAL!C85</f>
        <v>Marca D</v>
      </c>
      <c r="C88" s="33" t="str">
        <f>STOCK_ACTUAL!D85</f>
        <v>Correas</v>
      </c>
      <c r="D88" s="34">
        <f>_xlfn.XLOOKUP($A88,ROTACIÓN!$A$2:$A$101,ROTACIÓN!$B$2:$B$101)</f>
        <v>438</v>
      </c>
      <c r="E88" s="35" t="str">
        <f>_xlfn.XLOOKUP($A88,ROTACIÓN!$A$2:$A$101,ROTACIÓN!$C$2:$C$101)</f>
        <v>A</v>
      </c>
      <c r="F88" s="33" t="str">
        <f>STOCK_ACTUAL!E85</f>
        <v>7. MEZANNINE</v>
      </c>
      <c r="G88" s="36">
        <f>_xlfn.XLOOKUP($F88,LAYOUT_CD!$A$2:$A$10,LAYOUT_CD!$C$2:$C$10)</f>
        <v>6.42</v>
      </c>
      <c r="H88" s="34">
        <f>_xlfn.XLOOKUP($F88,LAYOUT_CD!$A$2:$A$10,LAYOUT_CD!$B$2:$B$10)</f>
        <v>80</v>
      </c>
      <c r="I88" s="37">
        <f>STOCK_ACTUAL!F85</f>
        <v>7.8601257628710647E-2</v>
      </c>
      <c r="J88" s="38">
        <f>STOCK_ACTUAL!G85</f>
        <v>43.928297992358559</v>
      </c>
      <c r="K88" s="34">
        <f t="shared" si="25"/>
        <v>2811.96</v>
      </c>
      <c r="L88" s="35" t="str">
        <f t="shared" si="26"/>
        <v>SÍ</v>
      </c>
      <c r="M88" s="39" t="str">
        <f t="shared" si="27"/>
        <v>SÍ</v>
      </c>
      <c r="P88" s="32" t="s">
        <v>59</v>
      </c>
      <c r="Q88" s="38">
        <f t="shared" si="28"/>
        <v>0.84413046129393976</v>
      </c>
      <c r="R88" s="38" cm="1">
        <f t="array" ref="R88">QUARTILE(IF($C$5:$C$104=$P88,$J$5:$J$104),1)</f>
        <v>11.797017111950964</v>
      </c>
      <c r="S88" s="38" cm="1">
        <f t="array" ref="S88">MEDIAN(IF($C$5:$C$104=$P88,$J$5:$J$104))</f>
        <v>21.613788475757211</v>
      </c>
      <c r="T88" s="38" cm="1">
        <f t="array" ref="T88">QUARTILE(IF($C$5:$C$104=$P88,$J$5:$J$104),3)</f>
        <v>34.004381298379734</v>
      </c>
      <c r="U88" s="38">
        <f t="shared" si="29"/>
        <v>46.86813444246836</v>
      </c>
      <c r="V88" s="38">
        <f t="shared" si="30"/>
        <v>22.781677133528778</v>
      </c>
      <c r="W88" s="38">
        <f t="shared" si="31"/>
        <v>22.207364186428769</v>
      </c>
      <c r="X88" s="63">
        <f t="shared" si="32"/>
        <v>5</v>
      </c>
    </row>
    <row r="89" spans="1:24" x14ac:dyDescent="0.35">
      <c r="A89" s="32" t="str">
        <f>STOCK_ACTUAL!B86</f>
        <v>SKU00085</v>
      </c>
      <c r="B89" s="33" t="str">
        <f>STOCK_ACTUAL!C86</f>
        <v>Marca E</v>
      </c>
      <c r="C89" s="33" t="str">
        <f>STOCK_ACTUAL!D86</f>
        <v>Soportes</v>
      </c>
      <c r="D89" s="34">
        <f>_xlfn.XLOOKUP($A89,ROTACIÓN!$A$2:$A$101,ROTACIÓN!$B$2:$B$101)</f>
        <v>496</v>
      </c>
      <c r="E89" s="35" t="str">
        <f>_xlfn.XLOOKUP($A89,ROTACIÓN!$A$2:$A$101,ROTACIÓN!$C$2:$C$101)</f>
        <v>A</v>
      </c>
      <c r="F89" s="33" t="str">
        <f>STOCK_ACTUAL!E86</f>
        <v>10. UBICACIÓN RECIBO</v>
      </c>
      <c r="G89" s="36">
        <f>_xlfn.XLOOKUP($F89,LAYOUT_CD!$A$2:$A$10,LAYOUT_CD!$C$2:$C$10)</f>
        <v>2.0099999999999998</v>
      </c>
      <c r="H89" s="34">
        <f>_xlfn.XLOOKUP($F89,LAYOUT_CD!$A$2:$A$10,LAYOUT_CD!$B$2:$B$10)</f>
        <v>15</v>
      </c>
      <c r="I89" s="37">
        <f>STOCK_ACTUAL!F86</f>
        <v>0.18994204477204801</v>
      </c>
      <c r="J89" s="38">
        <f>STOCK_ACTUAL!G86</f>
        <v>13.2681105719002</v>
      </c>
      <c r="K89" s="34">
        <f t="shared" si="25"/>
        <v>996.95999999999992</v>
      </c>
      <c r="L89" s="35" t="str">
        <f t="shared" si="26"/>
        <v>NO</v>
      </c>
      <c r="M89" s="39" t="str">
        <f t="shared" si="27"/>
        <v>NO</v>
      </c>
      <c r="P89" s="64" t="s">
        <v>62</v>
      </c>
      <c r="Q89" s="65">
        <f t="shared" si="28"/>
        <v>4.3105055365252536</v>
      </c>
      <c r="R89" s="65" cm="1">
        <f t="array" ref="R89">QUARTILE(IF($C$5:$C$104=$P89,$J$5:$J$104),1)</f>
        <v>13.069005028818239</v>
      </c>
      <c r="S89" s="65" cm="1">
        <f t="array" ref="S89">MEDIAN(IF($C$5:$C$104=$P89,$J$5:$J$104))</f>
        <v>26.489716226207104</v>
      </c>
      <c r="T89" s="65" cm="1">
        <f t="array" ref="T89">QUARTILE(IF($C$5:$C$104=$P89,$J$5:$J$104),3)</f>
        <v>37.185991822203384</v>
      </c>
      <c r="U89" s="65">
        <f t="shared" si="29"/>
        <v>49.289697478474743</v>
      </c>
      <c r="V89" s="65">
        <f t="shared" si="30"/>
        <v>25.672225344011519</v>
      </c>
      <c r="W89" s="65">
        <f t="shared" si="31"/>
        <v>24.116986793385145</v>
      </c>
      <c r="X89" s="67">
        <f t="shared" si="32"/>
        <v>4</v>
      </c>
    </row>
    <row r="90" spans="1:24" x14ac:dyDescent="0.35">
      <c r="A90" s="32" t="str">
        <f>STOCK_ACTUAL!B87</f>
        <v>SKU00086</v>
      </c>
      <c r="B90" s="33" t="str">
        <f>STOCK_ACTUAL!C87</f>
        <v>Marca A</v>
      </c>
      <c r="C90" s="33" t="str">
        <f>STOCK_ACTUAL!D87</f>
        <v>Filtros</v>
      </c>
      <c r="D90" s="34">
        <f>_xlfn.XLOOKUP($A90,ROTACIÓN!$A$2:$A$101,ROTACIÓN!$B$2:$B$101)</f>
        <v>361</v>
      </c>
      <c r="E90" s="35" t="str">
        <f>_xlfn.XLOOKUP($A90,ROTACIÓN!$A$2:$A$101,ROTACIÓN!$C$2:$C$101)</f>
        <v>A</v>
      </c>
      <c r="F90" s="33" t="str">
        <f>STOCK_ACTUAL!E87</f>
        <v>1. LLANTAS</v>
      </c>
      <c r="G90" s="36">
        <f>_xlfn.XLOOKUP($F90,LAYOUT_CD!$A$2:$A$10,LAYOUT_CD!$C$2:$C$10)</f>
        <v>8.0399999999999991</v>
      </c>
      <c r="H90" s="34">
        <f>_xlfn.XLOOKUP($F90,LAYOUT_CD!$A$2:$A$10,LAYOUT_CD!$B$2:$B$10)</f>
        <v>100</v>
      </c>
      <c r="I90" s="37">
        <f>STOCK_ACTUAL!F87</f>
        <v>0.19633249491203619</v>
      </c>
      <c r="J90" s="38">
        <f>STOCK_ACTUAL!G87</f>
        <v>33.169210278691857</v>
      </c>
      <c r="K90" s="34">
        <f t="shared" si="25"/>
        <v>2902.4399999999996</v>
      </c>
      <c r="L90" s="35" t="str">
        <f t="shared" si="26"/>
        <v>SÍ</v>
      </c>
      <c r="M90" s="39" t="str">
        <f t="shared" si="27"/>
        <v>SÍ</v>
      </c>
    </row>
    <row r="91" spans="1:24" x14ac:dyDescent="0.35">
      <c r="A91" s="32" t="str">
        <f>STOCK_ACTUAL!B88</f>
        <v>SKU00087</v>
      </c>
      <c r="B91" s="33" t="str">
        <f>STOCK_ACTUAL!C88</f>
        <v>Marca B</v>
      </c>
      <c r="C91" s="33" t="str">
        <f>STOCK_ACTUAL!D88</f>
        <v>Lubricantes</v>
      </c>
      <c r="D91" s="34">
        <f>_xlfn.XLOOKUP($A91,ROTACIÓN!$A$2:$A$101,ROTACIÓN!$B$2:$B$101)</f>
        <v>277</v>
      </c>
      <c r="E91" s="35" t="str">
        <f>_xlfn.XLOOKUP($A91,ROTACIÓN!$A$2:$A$101,ROTACIÓN!$C$2:$C$101)</f>
        <v>B</v>
      </c>
      <c r="F91" s="33" t="str">
        <f>STOCK_ACTUAL!E88</f>
        <v>4. RACK BALDA</v>
      </c>
      <c r="G91" s="36">
        <f>_xlfn.XLOOKUP($F91,LAYOUT_CD!$A$2:$A$10,LAYOUT_CD!$C$2:$C$10)</f>
        <v>4.82</v>
      </c>
      <c r="H91" s="34">
        <f>_xlfn.XLOOKUP($F91,LAYOUT_CD!$A$2:$A$10,LAYOUT_CD!$B$2:$B$10)</f>
        <v>60</v>
      </c>
      <c r="I91" s="37">
        <f>STOCK_ACTUAL!F88</f>
        <v>0.37832278025212879</v>
      </c>
      <c r="J91" s="38">
        <f>STOCK_ACTUAL!G88</f>
        <v>40.952498909960177</v>
      </c>
      <c r="K91" s="34">
        <f t="shared" si="25"/>
        <v>1335.14</v>
      </c>
      <c r="L91" s="35" t="str">
        <f t="shared" si="26"/>
        <v>SÍ</v>
      </c>
      <c r="M91" s="39" t="str">
        <f t="shared" si="27"/>
        <v>NO</v>
      </c>
    </row>
    <row r="92" spans="1:24" x14ac:dyDescent="0.35">
      <c r="A92" s="32" t="str">
        <f>STOCK_ACTUAL!B89</f>
        <v>SKU00088</v>
      </c>
      <c r="B92" s="33" t="str">
        <f>STOCK_ACTUAL!C89</f>
        <v>Marca C</v>
      </c>
      <c r="C92" s="33" t="str">
        <f>STOCK_ACTUAL!D89</f>
        <v>Pastillas</v>
      </c>
      <c r="D92" s="34">
        <f>_xlfn.XLOOKUP($A92,ROTACIÓN!$A$2:$A$101,ROTACIÓN!$B$2:$B$101)</f>
        <v>199</v>
      </c>
      <c r="E92" s="35" t="str">
        <f>_xlfn.XLOOKUP($A92,ROTACIÓN!$A$2:$A$101,ROTACIÓN!$C$2:$C$101)</f>
        <v>C</v>
      </c>
      <c r="F92" s="33" t="str">
        <f>STOCK_ACTUAL!E89</f>
        <v>5. RACK SIMPLE</v>
      </c>
      <c r="G92" s="36">
        <f>_xlfn.XLOOKUP($F92,LAYOUT_CD!$A$2:$A$10,LAYOUT_CD!$C$2:$C$10)</f>
        <v>5.63</v>
      </c>
      <c r="H92" s="34">
        <f>_xlfn.XLOOKUP($F92,LAYOUT_CD!$A$2:$A$10,LAYOUT_CD!$B$2:$B$10)</f>
        <v>65</v>
      </c>
      <c r="I92" s="37">
        <f>STOCK_ACTUAL!F89</f>
        <v>0.33690086210984588</v>
      </c>
      <c r="J92" s="38">
        <f>STOCK_ACTUAL!G89</f>
        <v>27.98244017417338</v>
      </c>
      <c r="K92" s="34">
        <f t="shared" si="25"/>
        <v>1120.3699999999999</v>
      </c>
      <c r="L92" s="35" t="str">
        <f t="shared" si="26"/>
        <v>SÍ</v>
      </c>
      <c r="M92" s="39" t="str">
        <f t="shared" si="27"/>
        <v>NO</v>
      </c>
      <c r="P92" s="55" t="s">
        <v>355</v>
      </c>
      <c r="Q92" s="30" t="s">
        <v>347</v>
      </c>
      <c r="R92" s="30" t="s">
        <v>348</v>
      </c>
      <c r="S92" s="30" t="s">
        <v>349</v>
      </c>
      <c r="T92" s="30" t="s">
        <v>350</v>
      </c>
      <c r="U92" s="30" t="s">
        <v>351</v>
      </c>
      <c r="V92" s="30" t="s">
        <v>352</v>
      </c>
      <c r="W92" s="30" t="s">
        <v>356</v>
      </c>
      <c r="X92" s="56" t="s">
        <v>357</v>
      </c>
    </row>
    <row r="93" spans="1:24" x14ac:dyDescent="0.35">
      <c r="A93" s="32" t="str">
        <f>STOCK_ACTUAL!B90</f>
        <v>SKU00089</v>
      </c>
      <c r="B93" s="33" t="str">
        <f>STOCK_ACTUAL!C90</f>
        <v>Marca D</v>
      </c>
      <c r="C93" s="33" t="str">
        <f>STOCK_ACTUAL!D90</f>
        <v>Correas</v>
      </c>
      <c r="D93" s="34">
        <f>_xlfn.XLOOKUP($A93,ROTACIÓN!$A$2:$A$101,ROTACIÓN!$B$2:$B$101)</f>
        <v>342</v>
      </c>
      <c r="E93" s="35" t="str">
        <f>_xlfn.XLOOKUP($A93,ROTACIÓN!$A$2:$A$101,ROTACIÓN!$C$2:$C$101)</f>
        <v>B</v>
      </c>
      <c r="F93" s="33" t="str">
        <f>STOCK_ACTUAL!E90</f>
        <v>8. CLUSTER</v>
      </c>
      <c r="G93" s="36">
        <f>_xlfn.XLOOKUP($F93,LAYOUT_CD!$A$2:$A$10,LAYOUT_CD!$C$2:$C$10)</f>
        <v>4.01</v>
      </c>
      <c r="H93" s="34">
        <f>_xlfn.XLOOKUP($F93,LAYOUT_CD!$A$2:$A$10,LAYOUT_CD!$B$2:$B$10)</f>
        <v>50</v>
      </c>
      <c r="I93" s="37">
        <f>STOCK_ACTUAL!F90</f>
        <v>0.44924573415934688</v>
      </c>
      <c r="J93" s="38">
        <f>STOCK_ACTUAL!G90</f>
        <v>26.717703628622321</v>
      </c>
      <c r="K93" s="34">
        <f t="shared" si="25"/>
        <v>1371.4199999999998</v>
      </c>
      <c r="L93" s="35" t="str">
        <f t="shared" si="26"/>
        <v>SÍ</v>
      </c>
      <c r="M93" s="39" t="str">
        <f t="shared" si="27"/>
        <v>NO</v>
      </c>
      <c r="P93" s="32" t="s">
        <v>50</v>
      </c>
      <c r="Q93" s="37">
        <f>_xlfn.MINIFS($I$5:$I$104,$C$5:$C$104,$P93)</f>
        <v>5.9263022433111101E-2</v>
      </c>
      <c r="R93" s="37" cm="1">
        <f t="array" ref="R93">QUARTILE(IF($C$5:$C$104=$P93,$I$5:$I$104),1)</f>
        <v>0.18038237854253844</v>
      </c>
      <c r="S93" s="37" cm="1">
        <f t="array" ref="S93">MEDIAN(IF($C$5:$C$104=$P93,$I$5:$I$104))</f>
        <v>0.30880421038842953</v>
      </c>
      <c r="T93" s="37" cm="1">
        <f t="array" ref="T93">QUARTILE(IF($C$5:$C$104=$P93,$I$5:$I$104),3)</f>
        <v>0.39896490529433587</v>
      </c>
      <c r="U93" s="37">
        <f>_xlfn.MAXIFS($I$5:$I$104,$C$5:$C$104,$P93)</f>
        <v>0.48631308249405142</v>
      </c>
      <c r="V93" s="37">
        <f>AVERAGEIF($C$5:$C$104,$P93,$I$5:$I$104)</f>
        <v>0.28530085959146612</v>
      </c>
      <c r="W93" s="68">
        <f>SUMIF($C$5:$C$104,$P93,$I$5:$I$104)</f>
        <v>5.7060171918293223</v>
      </c>
      <c r="X93" s="58">
        <f>$W93/SUM($I$5:$I$104)</f>
        <v>0.2181354874687671</v>
      </c>
    </row>
    <row r="94" spans="1:24" x14ac:dyDescent="0.35">
      <c r="A94" s="32" t="str">
        <f>STOCK_ACTUAL!B91</f>
        <v>SKU00090</v>
      </c>
      <c r="B94" s="33" t="str">
        <f>STOCK_ACTUAL!C91</f>
        <v>Marca E</v>
      </c>
      <c r="C94" s="33" t="str">
        <f>STOCK_ACTUAL!D91</f>
        <v>Soportes</v>
      </c>
      <c r="D94" s="34">
        <f>_xlfn.XLOOKUP($A94,ROTACIÓN!$A$2:$A$101,ROTACIÓN!$B$2:$B$101)</f>
        <v>246</v>
      </c>
      <c r="E94" s="35" t="str">
        <f>_xlfn.XLOOKUP($A94,ROTACIÓN!$A$2:$A$101,ROTACIÓN!$C$2:$C$101)</f>
        <v>B</v>
      </c>
      <c r="F94" s="33" t="str">
        <f>STOCK_ACTUAL!E91</f>
        <v>5. RACK SIMPLE</v>
      </c>
      <c r="G94" s="36">
        <f>_xlfn.XLOOKUP($F94,LAYOUT_CD!$A$2:$A$10,LAYOUT_CD!$C$2:$C$10)</f>
        <v>5.63</v>
      </c>
      <c r="H94" s="34">
        <f>_xlfn.XLOOKUP($F94,LAYOUT_CD!$A$2:$A$10,LAYOUT_CD!$B$2:$B$10)</f>
        <v>65</v>
      </c>
      <c r="I94" s="37">
        <f>STOCK_ACTUAL!F91</f>
        <v>0.26249671632287719</v>
      </c>
      <c r="J94" s="38">
        <f>STOCK_ACTUAL!G91</f>
        <v>12.47168839957236</v>
      </c>
      <c r="K94" s="34">
        <f t="shared" si="25"/>
        <v>1384.98</v>
      </c>
      <c r="L94" s="35" t="str">
        <f t="shared" si="26"/>
        <v>SÍ</v>
      </c>
      <c r="M94" s="39" t="str">
        <f t="shared" si="27"/>
        <v>NO</v>
      </c>
      <c r="P94" s="32" t="s">
        <v>53</v>
      </c>
      <c r="Q94" s="37">
        <f t="shared" ref="Q94:Q97" si="33">_xlfn.MINIFS($I$5:$I$104,$C$5:$C$104,$P94)</f>
        <v>7.6137625475689766E-2</v>
      </c>
      <c r="R94" s="37" cm="1">
        <f t="array" ref="R94">QUARTILE(IF($C$5:$C$104=$P94,$I$5:$I$104),1)</f>
        <v>0.1362505064326035</v>
      </c>
      <c r="S94" s="37" cm="1">
        <f t="array" ref="S94">MEDIAN(IF($C$5:$C$104=$P94,$I$5:$I$104))</f>
        <v>0.18867309018412584</v>
      </c>
      <c r="T94" s="37" cm="1">
        <f t="array" ref="T94">QUARTILE(IF($C$5:$C$104=$P94,$I$5:$I$104),3)</f>
        <v>0.37280081075079297</v>
      </c>
      <c r="U94" s="37">
        <f t="shared" ref="U94:U97" si="34">_xlfn.MAXIFS($I$5:$I$104,$C$5:$C$104,$P94)</f>
        <v>0.48645943347289738</v>
      </c>
      <c r="V94" s="37">
        <f t="shared" ref="V94:V97" si="35">AVERAGEIF($C$5:$C$104,$P94,$I$5:$I$104)</f>
        <v>0.2466254765237858</v>
      </c>
      <c r="W94" s="68">
        <f t="shared" ref="W94:W97" si="36">SUMIF($C$5:$C$104,$P94,$I$5:$I$104)</f>
        <v>4.9325095304757163</v>
      </c>
      <c r="X94" s="58">
        <f t="shared" ref="X94:X97" si="37">$W94/SUM($I$5:$I$104)</f>
        <v>0.18856504190267145</v>
      </c>
    </row>
    <row r="95" spans="1:24" x14ac:dyDescent="0.35">
      <c r="A95" s="32" t="str">
        <f>STOCK_ACTUAL!B92</f>
        <v>SKU00091</v>
      </c>
      <c r="B95" s="33" t="str">
        <f>STOCK_ACTUAL!C92</f>
        <v>Marca A</v>
      </c>
      <c r="C95" s="33" t="str">
        <f>STOCK_ACTUAL!D92</f>
        <v>Filtros</v>
      </c>
      <c r="D95" s="34">
        <f>_xlfn.XLOOKUP($A95,ROTACIÓN!$A$2:$A$101,ROTACIÓN!$B$2:$B$101)</f>
        <v>335</v>
      </c>
      <c r="E95" s="35" t="str">
        <f>_xlfn.XLOOKUP($A95,ROTACIÓN!$A$2:$A$101,ROTACIÓN!$C$2:$C$101)</f>
        <v>B</v>
      </c>
      <c r="F95" s="33" t="str">
        <f>STOCK_ACTUAL!E92</f>
        <v>10. UBICACIÓN RECIBO</v>
      </c>
      <c r="G95" s="36">
        <f>_xlfn.XLOOKUP($F95,LAYOUT_CD!$A$2:$A$10,LAYOUT_CD!$C$2:$C$10)</f>
        <v>2.0099999999999998</v>
      </c>
      <c r="H95" s="34">
        <f>_xlfn.XLOOKUP($F95,LAYOUT_CD!$A$2:$A$10,LAYOUT_CD!$B$2:$B$10)</f>
        <v>15</v>
      </c>
      <c r="I95" s="37">
        <f>STOCK_ACTUAL!F92</f>
        <v>0.10381741067223579</v>
      </c>
      <c r="J95" s="38">
        <f>STOCK_ACTUAL!G92</f>
        <v>5.1085870063920114</v>
      </c>
      <c r="K95" s="34">
        <f t="shared" si="25"/>
        <v>673.34999999999991</v>
      </c>
      <c r="L95" s="35" t="str">
        <f t="shared" si="26"/>
        <v>NO</v>
      </c>
      <c r="M95" s="39" t="str">
        <f t="shared" si="27"/>
        <v>NO</v>
      </c>
      <c r="P95" s="32" t="s">
        <v>56</v>
      </c>
      <c r="Q95" s="37">
        <f t="shared" si="33"/>
        <v>5.2484952705621077E-2</v>
      </c>
      <c r="R95" s="37" cm="1">
        <f t="array" ref="R95">QUARTILE(IF($C$5:$C$104=$P95,$I$5:$I$104),1)</f>
        <v>0.12713232889217968</v>
      </c>
      <c r="S95" s="37" cm="1">
        <f t="array" ref="S95">MEDIAN(IF($C$5:$C$104=$P95,$I$5:$I$104))</f>
        <v>0.28271805340807005</v>
      </c>
      <c r="T95" s="37" cm="1">
        <f t="array" ref="T95">QUARTILE(IF($C$5:$C$104=$P95,$I$5:$I$104),3)</f>
        <v>0.39701211424303229</v>
      </c>
      <c r="U95" s="37">
        <f t="shared" si="34"/>
        <v>0.47277452370388512</v>
      </c>
      <c r="V95" s="37">
        <f t="shared" si="35"/>
        <v>0.26333809524911356</v>
      </c>
      <c r="W95" s="68">
        <f t="shared" si="36"/>
        <v>5.2667619049822711</v>
      </c>
      <c r="X95" s="58">
        <f t="shared" si="37"/>
        <v>0.20134318508019053</v>
      </c>
    </row>
    <row r="96" spans="1:24" x14ac:dyDescent="0.35">
      <c r="A96" s="32" t="str">
        <f>STOCK_ACTUAL!B93</f>
        <v>SKU00092</v>
      </c>
      <c r="B96" s="33" t="str">
        <f>STOCK_ACTUAL!C93</f>
        <v>Marca B</v>
      </c>
      <c r="C96" s="33" t="str">
        <f>STOCK_ACTUAL!D93</f>
        <v>Lubricantes</v>
      </c>
      <c r="D96" s="34">
        <f>_xlfn.XLOOKUP($A96,ROTACIÓN!$A$2:$A$101,ROTACIÓN!$B$2:$B$101)</f>
        <v>394</v>
      </c>
      <c r="E96" s="35" t="str">
        <f>_xlfn.XLOOKUP($A96,ROTACIÓN!$A$2:$A$101,ROTACIÓN!$C$2:$C$101)</f>
        <v>A</v>
      </c>
      <c r="F96" s="33" t="str">
        <f>STOCK_ACTUAL!E93</f>
        <v>8. CLUSTER</v>
      </c>
      <c r="G96" s="36">
        <f>_xlfn.XLOOKUP($F96,LAYOUT_CD!$A$2:$A$10,LAYOUT_CD!$C$2:$C$10)</f>
        <v>4.01</v>
      </c>
      <c r="H96" s="34">
        <f>_xlfn.XLOOKUP($F96,LAYOUT_CD!$A$2:$A$10,LAYOUT_CD!$B$2:$B$10)</f>
        <v>50</v>
      </c>
      <c r="I96" s="37">
        <f>STOCK_ACTUAL!F93</f>
        <v>0.37096015425034767</v>
      </c>
      <c r="J96" s="38">
        <f>STOCK_ACTUAL!G93</f>
        <v>44.912180018689668</v>
      </c>
      <c r="K96" s="34">
        <f t="shared" si="25"/>
        <v>1579.9399999999998</v>
      </c>
      <c r="L96" s="35" t="str">
        <f t="shared" si="26"/>
        <v>SÍ</v>
      </c>
      <c r="M96" s="39" t="str">
        <f t="shared" si="27"/>
        <v>SÍ</v>
      </c>
      <c r="P96" s="32" t="s">
        <v>59</v>
      </c>
      <c r="Q96" s="37">
        <f t="shared" si="33"/>
        <v>6.1438607034842843E-2</v>
      </c>
      <c r="R96" s="37" cm="1">
        <f t="array" ref="R96">QUARTILE(IF($C$5:$C$104=$P96,$I$5:$I$104),1)</f>
        <v>0.19429239771039247</v>
      </c>
      <c r="S96" s="37" cm="1">
        <f t="array" ref="S96">MEDIAN(IF($C$5:$C$104=$P96,$I$5:$I$104))</f>
        <v>0.29929718230537461</v>
      </c>
      <c r="T96" s="37" cm="1">
        <f t="array" ref="T96">QUARTILE(IF($C$5:$C$104=$P96,$I$5:$I$104),3)</f>
        <v>0.37266805714902179</v>
      </c>
      <c r="U96" s="37">
        <f t="shared" si="34"/>
        <v>0.47699849176399989</v>
      </c>
      <c r="V96" s="37">
        <f t="shared" si="35"/>
        <v>0.27443157049603667</v>
      </c>
      <c r="W96" s="68">
        <f t="shared" si="36"/>
        <v>5.4886314099207336</v>
      </c>
      <c r="X96" s="58">
        <f t="shared" si="37"/>
        <v>0.20982504045972006</v>
      </c>
    </row>
    <row r="97" spans="1:24" x14ac:dyDescent="0.35">
      <c r="A97" s="32" t="str">
        <f>STOCK_ACTUAL!B94</f>
        <v>SKU00093</v>
      </c>
      <c r="B97" s="33" t="str">
        <f>STOCK_ACTUAL!C94</f>
        <v>Marca C</v>
      </c>
      <c r="C97" s="33" t="str">
        <f>STOCK_ACTUAL!D94</f>
        <v>Pastillas</v>
      </c>
      <c r="D97" s="34">
        <f>_xlfn.XLOOKUP($A97,ROTACIÓN!$A$2:$A$101,ROTACIÓN!$B$2:$B$101)</f>
        <v>111</v>
      </c>
      <c r="E97" s="35" t="str">
        <f>_xlfn.XLOOKUP($A97,ROTACIÓN!$A$2:$A$101,ROTACIÓN!$C$2:$C$101)</f>
        <v>C</v>
      </c>
      <c r="F97" s="33" t="str">
        <f>STOCK_ACTUAL!E94</f>
        <v>1. LLANTAS</v>
      </c>
      <c r="G97" s="36">
        <f>_xlfn.XLOOKUP($F97,LAYOUT_CD!$A$2:$A$10,LAYOUT_CD!$C$2:$C$10)</f>
        <v>8.0399999999999991</v>
      </c>
      <c r="H97" s="34">
        <f>_xlfn.XLOOKUP($F97,LAYOUT_CD!$A$2:$A$10,LAYOUT_CD!$B$2:$B$10)</f>
        <v>100</v>
      </c>
      <c r="I97" s="37">
        <f>STOCK_ACTUAL!F94</f>
        <v>0.39235327187760383</v>
      </c>
      <c r="J97" s="38">
        <f>STOCK_ACTUAL!G94</f>
        <v>45.070693829584847</v>
      </c>
      <c r="K97" s="34">
        <f t="shared" si="25"/>
        <v>892.43999999999994</v>
      </c>
      <c r="L97" s="35" t="str">
        <f t="shared" si="26"/>
        <v>SÍ</v>
      </c>
      <c r="M97" s="39" t="str">
        <f t="shared" si="27"/>
        <v>NO</v>
      </c>
      <c r="P97" s="64" t="s">
        <v>62</v>
      </c>
      <c r="Q97" s="77">
        <f t="shared" si="33"/>
        <v>7.0902685723998979E-2</v>
      </c>
      <c r="R97" s="77" cm="1">
        <f t="array" ref="R97">QUARTILE(IF($C$5:$C$104=$P97,$I$5:$I$104),1)</f>
        <v>0.13284368755066422</v>
      </c>
      <c r="S97" s="77" cm="1">
        <f t="array" ref="S97">MEDIAN(IF($C$5:$C$104=$P97,$I$5:$I$104))</f>
        <v>0.19317034680775852</v>
      </c>
      <c r="T97" s="77" cm="1">
        <f t="array" ref="T97">QUARTILE(IF($C$5:$C$104=$P97,$I$5:$I$104),3)</f>
        <v>0.33131269403159813</v>
      </c>
      <c r="U97" s="77">
        <f t="shared" si="34"/>
        <v>0.49409912147023283</v>
      </c>
      <c r="V97" s="77">
        <f t="shared" si="35"/>
        <v>0.23821067074056876</v>
      </c>
      <c r="W97" s="72">
        <f t="shared" si="36"/>
        <v>4.7642134148113753</v>
      </c>
      <c r="X97" s="78">
        <f t="shared" si="37"/>
        <v>0.18213124508865039</v>
      </c>
    </row>
    <row r="98" spans="1:24" x14ac:dyDescent="0.35">
      <c r="A98" s="32" t="str">
        <f>STOCK_ACTUAL!B95</f>
        <v>SKU00094</v>
      </c>
      <c r="B98" s="33" t="str">
        <f>STOCK_ACTUAL!C95</f>
        <v>Marca D</v>
      </c>
      <c r="C98" s="33" t="str">
        <f>STOCK_ACTUAL!D95</f>
        <v>Correas</v>
      </c>
      <c r="D98" s="34">
        <f>_xlfn.XLOOKUP($A98,ROTACIÓN!$A$2:$A$101,ROTACIÓN!$B$2:$B$101)</f>
        <v>209</v>
      </c>
      <c r="E98" s="35" t="str">
        <f>_xlfn.XLOOKUP($A98,ROTACIÓN!$A$2:$A$101,ROTACIÓN!$C$2:$C$101)</f>
        <v>B</v>
      </c>
      <c r="F98" s="33" t="str">
        <f>STOCK_ACTUAL!E95</f>
        <v>1. LLANTAS</v>
      </c>
      <c r="G98" s="36">
        <f>_xlfn.XLOOKUP($F98,LAYOUT_CD!$A$2:$A$10,LAYOUT_CD!$C$2:$C$10)</f>
        <v>8.0399999999999991</v>
      </c>
      <c r="H98" s="34">
        <f>_xlfn.XLOOKUP($F98,LAYOUT_CD!$A$2:$A$10,LAYOUT_CD!$B$2:$B$10)</f>
        <v>100</v>
      </c>
      <c r="I98" s="37">
        <f>STOCK_ACTUAL!F95</f>
        <v>0.30257473890627329</v>
      </c>
      <c r="J98" s="38">
        <f>STOCK_ACTUAL!G95</f>
        <v>31.838522135026761</v>
      </c>
      <c r="K98" s="34">
        <f t="shared" si="25"/>
        <v>1680.36</v>
      </c>
      <c r="L98" s="35" t="str">
        <f t="shared" si="26"/>
        <v>SÍ</v>
      </c>
      <c r="M98" s="39" t="str">
        <f t="shared" si="27"/>
        <v>NO</v>
      </c>
    </row>
    <row r="99" spans="1:24" x14ac:dyDescent="0.35">
      <c r="A99" s="32" t="str">
        <f>STOCK_ACTUAL!B96</f>
        <v>SKU00095</v>
      </c>
      <c r="B99" s="33" t="str">
        <f>STOCK_ACTUAL!C96</f>
        <v>Marca E</v>
      </c>
      <c r="C99" s="33" t="str">
        <f>STOCK_ACTUAL!D96</f>
        <v>Soportes</v>
      </c>
      <c r="D99" s="34">
        <f>_xlfn.XLOOKUP($A99,ROTACIÓN!$A$2:$A$101,ROTACIÓN!$B$2:$B$101)</f>
        <v>402</v>
      </c>
      <c r="E99" s="35" t="str">
        <f>_xlfn.XLOOKUP($A99,ROTACIÓN!$A$2:$A$101,ROTACIÓN!$C$2:$C$101)</f>
        <v>A</v>
      </c>
      <c r="F99" s="33" t="str">
        <f>STOCK_ACTUAL!E96</f>
        <v>4. RACK BALDA</v>
      </c>
      <c r="G99" s="36">
        <f>_xlfn.XLOOKUP($F99,LAYOUT_CD!$A$2:$A$10,LAYOUT_CD!$C$2:$C$10)</f>
        <v>4.82</v>
      </c>
      <c r="H99" s="34">
        <f>_xlfn.XLOOKUP($F99,LAYOUT_CD!$A$2:$A$10,LAYOUT_CD!$B$2:$B$10)</f>
        <v>60</v>
      </c>
      <c r="I99" s="37">
        <f>STOCK_ACTUAL!F96</f>
        <v>0.39693523097955252</v>
      </c>
      <c r="J99" s="38">
        <f>STOCK_ACTUAL!G96</f>
        <v>17.28197465691068</v>
      </c>
      <c r="K99" s="34">
        <f t="shared" si="25"/>
        <v>1937.64</v>
      </c>
      <c r="L99" s="35" t="str">
        <f t="shared" si="26"/>
        <v>SÍ</v>
      </c>
      <c r="M99" s="39" t="str">
        <f t="shared" si="27"/>
        <v>SÍ</v>
      </c>
    </row>
    <row r="100" spans="1:24" x14ac:dyDescent="0.35">
      <c r="A100" s="32" t="str">
        <f>STOCK_ACTUAL!B97</f>
        <v>SKU00096</v>
      </c>
      <c r="B100" s="33" t="str">
        <f>STOCK_ACTUAL!C97</f>
        <v>Marca A</v>
      </c>
      <c r="C100" s="33" t="str">
        <f>STOCK_ACTUAL!D97</f>
        <v>Filtros</v>
      </c>
      <c r="D100" s="34">
        <f>_xlfn.XLOOKUP($A100,ROTACIÓN!$A$2:$A$101,ROTACIÓN!$B$2:$B$101)</f>
        <v>211</v>
      </c>
      <c r="E100" s="35" t="str">
        <f>_xlfn.XLOOKUP($A100,ROTACIÓN!$A$2:$A$101,ROTACIÓN!$C$2:$C$101)</f>
        <v>B</v>
      </c>
      <c r="F100" s="33" t="str">
        <f>STOCK_ACTUAL!E97</f>
        <v>5. RACK SIMPLE</v>
      </c>
      <c r="G100" s="36">
        <f>_xlfn.XLOOKUP($F100,LAYOUT_CD!$A$2:$A$10,LAYOUT_CD!$C$2:$C$10)</f>
        <v>5.63</v>
      </c>
      <c r="H100" s="34">
        <f>_xlfn.XLOOKUP($F100,LAYOUT_CD!$A$2:$A$10,LAYOUT_CD!$B$2:$B$10)</f>
        <v>65</v>
      </c>
      <c r="I100" s="37">
        <f>STOCK_ACTUAL!F97</f>
        <v>0.27220801836397579</v>
      </c>
      <c r="J100" s="38">
        <f>STOCK_ACTUAL!G97</f>
        <v>17.78587394332671</v>
      </c>
      <c r="K100" s="34">
        <f t="shared" si="25"/>
        <v>1187.93</v>
      </c>
      <c r="L100" s="35" t="str">
        <f t="shared" si="26"/>
        <v>SÍ</v>
      </c>
      <c r="M100" s="39" t="str">
        <f t="shared" si="27"/>
        <v>NO</v>
      </c>
      <c r="P100" s="86" t="s">
        <v>358</v>
      </c>
      <c r="Q100" s="87" t="s">
        <v>359</v>
      </c>
    </row>
    <row r="101" spans="1:24" x14ac:dyDescent="0.35">
      <c r="A101" s="32" t="str">
        <f>STOCK_ACTUAL!B98</f>
        <v>SKU00097</v>
      </c>
      <c r="B101" s="33" t="str">
        <f>STOCK_ACTUAL!C98</f>
        <v>Marca B</v>
      </c>
      <c r="C101" s="33" t="str">
        <f>STOCK_ACTUAL!D98</f>
        <v>Lubricantes</v>
      </c>
      <c r="D101" s="34">
        <f>_xlfn.XLOOKUP($A101,ROTACIÓN!$A$2:$A$101,ROTACIÓN!$B$2:$B$101)</f>
        <v>263</v>
      </c>
      <c r="E101" s="35" t="str">
        <f>_xlfn.XLOOKUP($A101,ROTACIÓN!$A$2:$A$101,ROTACIÓN!$C$2:$C$101)</f>
        <v>B</v>
      </c>
      <c r="F101" s="33" t="str">
        <f>STOCK_ACTUAL!E98</f>
        <v>1. LLANTAS</v>
      </c>
      <c r="G101" s="36">
        <f>_xlfn.XLOOKUP($F101,LAYOUT_CD!$A$2:$A$10,LAYOUT_CD!$C$2:$C$10)</f>
        <v>8.0399999999999991</v>
      </c>
      <c r="H101" s="34">
        <f>_xlfn.XLOOKUP($F101,LAYOUT_CD!$A$2:$A$10,LAYOUT_CD!$B$2:$B$10)</f>
        <v>100</v>
      </c>
      <c r="I101" s="37">
        <f>STOCK_ACTUAL!F98</f>
        <v>0.28522977322189741</v>
      </c>
      <c r="J101" s="38">
        <f>STOCK_ACTUAL!G98</f>
        <v>36.434806104076848</v>
      </c>
      <c r="K101" s="34">
        <f t="shared" si="25"/>
        <v>2114.52</v>
      </c>
      <c r="L101" s="35" t="str">
        <f t="shared" si="26"/>
        <v>SÍ</v>
      </c>
      <c r="M101" s="39" t="str">
        <f t="shared" si="27"/>
        <v>NO</v>
      </c>
      <c r="P101" s="88" t="s">
        <v>360</v>
      </c>
      <c r="Q101" s="89">
        <f>SUMPRODUCT($D$5:$D$104,$G$5:$G$104)/SUM($D$5:$D$104)</f>
        <v>4.298989929506547</v>
      </c>
    </row>
    <row r="102" spans="1:24" x14ac:dyDescent="0.35">
      <c r="A102" s="32" t="str">
        <f>STOCK_ACTUAL!B99</f>
        <v>SKU00098</v>
      </c>
      <c r="B102" s="33" t="str">
        <f>STOCK_ACTUAL!C99</f>
        <v>Marca C</v>
      </c>
      <c r="C102" s="33" t="str">
        <f>STOCK_ACTUAL!D99</f>
        <v>Pastillas</v>
      </c>
      <c r="D102" s="34">
        <f>_xlfn.XLOOKUP($A102,ROTACIÓN!$A$2:$A$101,ROTACIÓN!$B$2:$B$101)</f>
        <v>346</v>
      </c>
      <c r="E102" s="35" t="str">
        <f>_xlfn.XLOOKUP($A102,ROTACIÓN!$A$2:$A$101,ROTACIÓN!$C$2:$C$101)</f>
        <v>B</v>
      </c>
      <c r="F102" s="33" t="str">
        <f>STOCK_ACTUAL!E99</f>
        <v>1. LLANTAS</v>
      </c>
      <c r="G102" s="36">
        <f>_xlfn.XLOOKUP($F102,LAYOUT_CD!$A$2:$A$10,LAYOUT_CD!$C$2:$C$10)</f>
        <v>8.0399999999999991</v>
      </c>
      <c r="H102" s="34">
        <f>_xlfn.XLOOKUP($F102,LAYOUT_CD!$A$2:$A$10,LAYOUT_CD!$B$2:$B$10)</f>
        <v>100</v>
      </c>
      <c r="I102" s="37">
        <f>STOCK_ACTUAL!F99</f>
        <v>0.24239345826134731</v>
      </c>
      <c r="J102" s="38">
        <f>STOCK_ACTUAL!G99</f>
        <v>44.906957867652572</v>
      </c>
      <c r="K102" s="34">
        <f t="shared" si="25"/>
        <v>2781.8399999999997</v>
      </c>
      <c r="L102" s="35" t="str">
        <f t="shared" si="26"/>
        <v>SÍ</v>
      </c>
      <c r="M102" s="39" t="str">
        <f t="shared" si="27"/>
        <v>NO</v>
      </c>
      <c r="P102" s="88" t="s">
        <v>361</v>
      </c>
      <c r="Q102" s="89">
        <f>AVERAGE($G$5:$G$104)</f>
        <v>4.3610000000000007</v>
      </c>
    </row>
    <row r="103" spans="1:24" x14ac:dyDescent="0.35">
      <c r="A103" s="32" t="str">
        <f>STOCK_ACTUAL!B100</f>
        <v>SKU00099</v>
      </c>
      <c r="B103" s="33" t="str">
        <f>STOCK_ACTUAL!C100</f>
        <v>Marca D</v>
      </c>
      <c r="C103" s="33" t="str">
        <f>STOCK_ACTUAL!D100</f>
        <v>Correas</v>
      </c>
      <c r="D103" s="34">
        <f>_xlfn.XLOOKUP($A103,ROTACIÓN!$A$2:$A$101,ROTACIÓN!$B$2:$B$101)</f>
        <v>408</v>
      </c>
      <c r="E103" s="35" t="str">
        <f>_xlfn.XLOOKUP($A103,ROTACIÓN!$A$2:$A$101,ROTACIÓN!$C$2:$C$101)</f>
        <v>A</v>
      </c>
      <c r="F103" s="33" t="str">
        <f>STOCK_ACTUAL!E100</f>
        <v>2. PISO</v>
      </c>
      <c r="G103" s="36">
        <f>_xlfn.XLOOKUP($F103,LAYOUT_CD!$A$2:$A$10,LAYOUT_CD!$C$2:$C$10)</f>
        <v>1.6</v>
      </c>
      <c r="H103" s="34">
        <f>_xlfn.XLOOKUP($F103,LAYOUT_CD!$A$2:$A$10,LAYOUT_CD!$B$2:$B$10)</f>
        <v>10</v>
      </c>
      <c r="I103" s="37">
        <f>STOCK_ACTUAL!F100</f>
        <v>6.1438607034842843E-2</v>
      </c>
      <c r="J103" s="38">
        <f>STOCK_ACTUAL!G100</f>
        <v>44.410778001123298</v>
      </c>
      <c r="K103" s="34">
        <f t="shared" si="25"/>
        <v>652.80000000000007</v>
      </c>
      <c r="L103" s="35" t="str">
        <f t="shared" si="26"/>
        <v>NO</v>
      </c>
      <c r="M103" s="39" t="str">
        <f t="shared" si="27"/>
        <v>NO</v>
      </c>
      <c r="P103" s="88" t="s">
        <v>362</v>
      </c>
      <c r="Q103" s="90">
        <f>SUM($K$5:$K$104)</f>
        <v>128066.91000000005</v>
      </c>
    </row>
    <row r="104" spans="1:24" x14ac:dyDescent="0.35">
      <c r="A104" s="40" t="str">
        <f>STOCK_ACTUAL!B101</f>
        <v>SKU00100</v>
      </c>
      <c r="B104" s="41" t="str">
        <f>STOCK_ACTUAL!C101</f>
        <v>Marca E</v>
      </c>
      <c r="C104" s="41" t="str">
        <f>STOCK_ACTUAL!D101</f>
        <v>Soportes</v>
      </c>
      <c r="D104" s="42">
        <f>_xlfn.XLOOKUP($A104,ROTACIÓN!$A$2:$A$101,ROTACIÓN!$B$2:$B$101)</f>
        <v>460</v>
      </c>
      <c r="E104" s="43" t="str">
        <f>_xlfn.XLOOKUP($A104,ROTACIÓN!$A$2:$A$101,ROTACIÓN!$C$2:$C$101)</f>
        <v>A</v>
      </c>
      <c r="F104" s="41" t="str">
        <f>STOCK_ACTUAL!E101</f>
        <v>2. PISO</v>
      </c>
      <c r="G104" s="44">
        <f>_xlfn.XLOOKUP($F104,LAYOUT_CD!$A$2:$A$10,LAYOUT_CD!$C$2:$C$10)</f>
        <v>1.6</v>
      </c>
      <c r="H104" s="42">
        <f>_xlfn.XLOOKUP($F104,LAYOUT_CD!$A$2:$A$10,LAYOUT_CD!$B$2:$B$10)</f>
        <v>10</v>
      </c>
      <c r="I104" s="45">
        <f>STOCK_ACTUAL!F101</f>
        <v>9.8551142146987014E-2</v>
      </c>
      <c r="J104" s="46">
        <f>STOCK_ACTUAL!G101</f>
        <v>39.10383951995238</v>
      </c>
      <c r="K104" s="42">
        <f t="shared" si="25"/>
        <v>736</v>
      </c>
      <c r="L104" s="43" t="str">
        <f t="shared" si="26"/>
        <v>NO</v>
      </c>
      <c r="M104" s="47" t="str">
        <f t="shared" si="27"/>
        <v>NO</v>
      </c>
      <c r="P104" s="88" t="s">
        <v>363</v>
      </c>
      <c r="Q104" s="90">
        <f>COUNTIFS($E$5:$E$104,"A",$L$5:$L$104,"SÍ")</f>
        <v>20</v>
      </c>
    </row>
    <row r="105" spans="1:24" x14ac:dyDescent="0.35">
      <c r="P105" s="88" t="s">
        <v>364</v>
      </c>
      <c r="Q105" s="91">
        <f>$Q104/$Q$5</f>
        <v>0.51282051282051277</v>
      </c>
    </row>
    <row r="106" spans="1:24" x14ac:dyDescent="0.35">
      <c r="P106" s="88" t="s">
        <v>365</v>
      </c>
      <c r="Q106" s="90">
        <f>COUNTIFS($E$5:$E$104,"C",$G$5:$G$104,"&lt;=2.01")</f>
        <v>10</v>
      </c>
    </row>
    <row r="107" spans="1:24" x14ac:dyDescent="0.35">
      <c r="P107" s="88" t="s">
        <v>366</v>
      </c>
      <c r="Q107" s="90">
        <f>$W$76</f>
        <v>33015.149999999994</v>
      </c>
    </row>
    <row r="108" spans="1:24" x14ac:dyDescent="0.35">
      <c r="P108" s="88" t="s">
        <v>367</v>
      </c>
      <c r="Q108" s="91">
        <f>$W$76/$U$76</f>
        <v>0.73253782209939966</v>
      </c>
    </row>
    <row r="109" spans="1:24" x14ac:dyDescent="0.35">
      <c r="P109" s="88" t="s">
        <v>368</v>
      </c>
      <c r="Q109" s="91">
        <f>$W$76/$Q103</f>
        <v>0.25779610049153195</v>
      </c>
    </row>
    <row r="110" spans="1:24" x14ac:dyDescent="0.35">
      <c r="P110" s="88" t="s">
        <v>369</v>
      </c>
      <c r="Q110" s="91">
        <f>SUM($I$5:$I$104)/SUM(LAYOUT_CD!$D$2:$D$10)</f>
        <v>9.7604975567236688E-3</v>
      </c>
    </row>
    <row r="111" spans="1:24" x14ac:dyDescent="0.35">
      <c r="P111" s="88" t="s">
        <v>370</v>
      </c>
      <c r="Q111" s="92">
        <f>CORREL($D$5:$D$104,$G$5:$G$104)</f>
        <v>-6.76300751398064E-2</v>
      </c>
    </row>
    <row r="112" spans="1:24" x14ac:dyDescent="0.35">
      <c r="P112" s="93" t="s">
        <v>371</v>
      </c>
      <c r="Q112" s="94">
        <f>COUNTIF($Q$20:$Q$28,0)</f>
        <v>1</v>
      </c>
    </row>
  </sheetData>
  <conditionalFormatting sqref="A5:M104">
    <cfRule type="expression" dxfId="2" priority="1">
      <formula>$M5="SÍ"</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0CD69-0E2E-4B7A-BC45-6E477E3520C5}">
  <dimension ref="A1:CA191"/>
  <sheetViews>
    <sheetView tabSelected="1" topLeftCell="A119" zoomScale="38" workbookViewId="0">
      <selection sqref="A1:R1"/>
    </sheetView>
  </sheetViews>
  <sheetFormatPr baseColWidth="10" defaultRowHeight="14.5" x14ac:dyDescent="0.35"/>
  <cols>
    <col min="1" max="1" width="3.26953125" customWidth="1"/>
    <col min="2" max="18" width="14.1796875" customWidth="1"/>
  </cols>
  <sheetData>
    <row r="1" spans="1:79" ht="34" customHeight="1" x14ac:dyDescent="0.5">
      <c r="A1" s="97" t="s">
        <v>372</v>
      </c>
      <c r="B1" s="96"/>
      <c r="C1" s="96"/>
      <c r="D1" s="96"/>
      <c r="E1" s="96"/>
      <c r="F1" s="96"/>
      <c r="G1" s="96"/>
      <c r="H1" s="96"/>
      <c r="I1" s="96"/>
      <c r="J1" s="96"/>
      <c r="K1" s="96"/>
      <c r="L1" s="96"/>
      <c r="M1" s="96"/>
      <c r="N1" s="96"/>
      <c r="O1" s="96"/>
      <c r="P1" s="96"/>
      <c r="Q1" s="96"/>
      <c r="R1" s="96"/>
      <c r="BA1" s="95" t="s">
        <v>375</v>
      </c>
    </row>
    <row r="2" spans="1:79" ht="20" customHeight="1" x14ac:dyDescent="0.35">
      <c r="A2" s="99" t="s">
        <v>373</v>
      </c>
      <c r="B2" s="98"/>
      <c r="C2" s="98"/>
      <c r="D2" s="98"/>
      <c r="E2" s="98"/>
      <c r="F2" s="98"/>
      <c r="G2" s="98"/>
      <c r="H2" s="98"/>
      <c r="I2" s="98"/>
      <c r="J2" s="98"/>
      <c r="K2" s="98"/>
      <c r="L2" s="98"/>
      <c r="M2" s="98"/>
      <c r="N2" s="98"/>
      <c r="O2" s="98"/>
      <c r="P2" s="98"/>
      <c r="Q2" s="98"/>
      <c r="R2" s="98"/>
    </row>
    <row r="3" spans="1:79" x14ac:dyDescent="0.35">
      <c r="A3" s="100" t="s">
        <v>374</v>
      </c>
      <c r="B3" s="100"/>
      <c r="C3" s="100"/>
      <c r="D3" s="100"/>
      <c r="E3" s="100"/>
      <c r="F3" s="100"/>
      <c r="G3" s="100"/>
      <c r="H3" s="100"/>
      <c r="I3" s="100"/>
      <c r="J3" s="100"/>
      <c r="K3" s="100"/>
      <c r="L3" s="100"/>
      <c r="M3" s="100"/>
      <c r="N3" s="100"/>
      <c r="O3" s="100"/>
      <c r="P3" s="100"/>
      <c r="Q3" s="100"/>
      <c r="R3" s="100"/>
      <c r="BA3" s="51" t="s">
        <v>376</v>
      </c>
      <c r="BE3" s="51" t="s">
        <v>379</v>
      </c>
      <c r="BL3" t="s">
        <v>404</v>
      </c>
    </row>
    <row r="4" spans="1:79" x14ac:dyDescent="0.35">
      <c r="BA4" t="s">
        <v>19</v>
      </c>
      <c r="BB4" t="s">
        <v>377</v>
      </c>
      <c r="BC4" t="s">
        <v>378</v>
      </c>
      <c r="BE4" t="s">
        <v>45</v>
      </c>
      <c r="BF4" t="s">
        <v>445</v>
      </c>
      <c r="BG4" t="s">
        <v>380</v>
      </c>
      <c r="BH4" t="s">
        <v>446</v>
      </c>
      <c r="BI4" t="s">
        <v>447</v>
      </c>
      <c r="BJ4" t="s">
        <v>381</v>
      </c>
      <c r="BL4" t="s">
        <v>25</v>
      </c>
      <c r="BM4" t="s">
        <v>405</v>
      </c>
      <c r="BN4" t="s">
        <v>406</v>
      </c>
      <c r="BP4" t="s">
        <v>25</v>
      </c>
      <c r="BQ4" t="s">
        <v>417</v>
      </c>
      <c r="BR4" t="s">
        <v>418</v>
      </c>
      <c r="BT4" t="s">
        <v>25</v>
      </c>
      <c r="BU4" t="s">
        <v>406</v>
      </c>
      <c r="BV4" t="s">
        <v>423</v>
      </c>
      <c r="BW4" t="s">
        <v>424</v>
      </c>
      <c r="BY4" t="s">
        <v>17</v>
      </c>
      <c r="BZ4" t="s">
        <v>429</v>
      </c>
      <c r="CA4" t="s">
        <v>430</v>
      </c>
    </row>
    <row r="5" spans="1:79" ht="26" customHeight="1" x14ac:dyDescent="0.35">
      <c r="A5" s="102" t="s">
        <v>383</v>
      </c>
      <c r="B5" s="101"/>
      <c r="C5" s="101"/>
      <c r="D5" s="101"/>
      <c r="E5" s="101"/>
      <c r="F5" s="101"/>
      <c r="G5" s="101"/>
      <c r="H5" s="101"/>
      <c r="I5" s="101"/>
      <c r="J5" s="101"/>
      <c r="K5" s="101"/>
      <c r="L5" s="101"/>
      <c r="M5" s="101"/>
      <c r="N5" s="101"/>
      <c r="O5" s="101"/>
      <c r="P5" s="101"/>
      <c r="Q5" s="101"/>
      <c r="R5" s="101"/>
      <c r="BA5">
        <f>ANALYTICS_BASE!$D5</f>
        <v>422</v>
      </c>
      <c r="BB5">
        <f>IF(ANALYTICS_BASE!$M5="NO",ANALYTICS_BASE!$G5,NA())</f>
        <v>1.6</v>
      </c>
      <c r="BC5" t="e">
        <f>IF(ANALYTICS_BASE!$M5="SÍ",ANALYTICS_BASE!$G5,NA())</f>
        <v>#N/A</v>
      </c>
      <c r="BE5" t="str">
        <f>ANALYTICS_BASE!$P85</f>
        <v>Filtros</v>
      </c>
      <c r="BF5">
        <f>ANALYTICS_BASE!$Q85</f>
        <v>2.055744691493345</v>
      </c>
      <c r="BG5">
        <f>ANALYTICS_BASE!$R85-ANALYTICS_BASE!$Q85</f>
        <v>10.694663300613454</v>
      </c>
      <c r="BH5">
        <f>ANALYTICS_BASE!$S85-ANALYTICS_BASE!$R85</f>
        <v>5.4951615143580685</v>
      </c>
      <c r="BI5">
        <f>ANALYTICS_BASE!$T85-ANALYTICS_BASE!$S85</f>
        <v>17.401079347085144</v>
      </c>
      <c r="BJ5">
        <f>ANALYTICS_BASE!$U85-ANALYTICS_BASE!$T85</f>
        <v>12.494492246084491</v>
      </c>
      <c r="BL5" t="str">
        <f>ANALYTICS_BASE!$P20</f>
        <v>2. PISO</v>
      </c>
      <c r="BM5">
        <f>ANALYTICS_BASE!$R20</f>
        <v>305.40740740740739</v>
      </c>
      <c r="BN5">
        <f>ANALYTICS_BASE!$S20</f>
        <v>1.6</v>
      </c>
      <c r="BP5" t="str">
        <f>ANALYTICS_BASE!$P20</f>
        <v>2. PISO</v>
      </c>
      <c r="BQ5">
        <f>ANALYTICS_BASE!$U20</f>
        <v>4.2841488084382489</v>
      </c>
      <c r="BR5">
        <f>ANALYTICS_BASE!$V20</f>
        <v>500</v>
      </c>
      <c r="BT5" t="str">
        <f>INDEX(ANALYTICS_BASE!$P$20:$P$28,MATCH(LARGE($BW$20:$BW$28,ROW()-4),$BW$20:$BW$28,0))</f>
        <v>1. LLANTAS</v>
      </c>
      <c r="BU5">
        <f>INDEX(ANALYTICS_BASE!$S$20:$S$28,MATCH(LARGE($BW$20:$BW$28,ROW()-4),$BW$20:$BW$28,0))</f>
        <v>8.0399999999999991</v>
      </c>
      <c r="BV5">
        <f>INDEX(ANALYTICS_BASE!$AA$20:$AA$28,MATCH(LARGE($BW$20:$BW$28,ROW()-4),$BW$20:$BW$28,0))</f>
        <v>32923.799999999996</v>
      </c>
      <c r="BY5" t="str">
        <f>ANALYTICS_BASE!$P32</f>
        <v>SKU00085</v>
      </c>
      <c r="BZ5">
        <f>ANALYTICS_BASE!$Q32</f>
        <v>496</v>
      </c>
      <c r="CA5">
        <f>ANALYTICS_BASE!$R32</f>
        <v>1.6649882510909701E-2</v>
      </c>
    </row>
    <row r="6" spans="1:79" x14ac:dyDescent="0.35">
      <c r="K6" s="103" t="s">
        <v>384</v>
      </c>
      <c r="L6" s="103"/>
      <c r="M6" s="103"/>
      <c r="N6" s="103"/>
      <c r="O6" s="103"/>
      <c r="P6" s="103"/>
      <c r="Q6" s="103"/>
      <c r="R6" s="103"/>
      <c r="BA6">
        <f>ANALYTICS_BASE!$D6</f>
        <v>236</v>
      </c>
      <c r="BB6">
        <f>IF(ANALYTICS_BASE!$M6="NO",ANALYTICS_BASE!$G6,NA())</f>
        <v>8.0399999999999991</v>
      </c>
      <c r="BC6" t="e">
        <f>IF(ANALYTICS_BASE!$M6="SÍ",ANALYTICS_BASE!$G6,NA())</f>
        <v>#N/A</v>
      </c>
      <c r="BE6" t="str">
        <f>ANALYTICS_BASE!$P86</f>
        <v>Lubricantes</v>
      </c>
      <c r="BF6">
        <f>ANALYTICS_BASE!$Q86</f>
        <v>1.32109753192888</v>
      </c>
      <c r="BG6">
        <f>ANALYTICS_BASE!$R86-ANALYTICS_BASE!$Q86</f>
        <v>11.490898597591551</v>
      </c>
      <c r="BH6">
        <f>ANALYTICS_BASE!$S86-ANALYTICS_BASE!$R86</f>
        <v>18.424290443673105</v>
      </c>
      <c r="BI6">
        <f>ANALYTICS_BASE!$T86-ANALYTICS_BASE!$S86</f>
        <v>6.1602599564906448</v>
      </c>
      <c r="BJ6">
        <f>ANALYTICS_BASE!$U86-ANALYTICS_BASE!$T86</f>
        <v>7.5156334890054879</v>
      </c>
      <c r="BL6" t="str">
        <f>ANALYTICS_BASE!$P21</f>
        <v>10. UBICACIÓN RECIBO</v>
      </c>
      <c r="BM6">
        <f>ANALYTICS_BASE!$R21</f>
        <v>330.875</v>
      </c>
      <c r="BN6">
        <f>ANALYTICS_BASE!$S21</f>
        <v>2.0099999999999998</v>
      </c>
      <c r="BP6" t="str">
        <f>ANALYTICS_BASE!$P21</f>
        <v>10. UBICACIÓN RECIBO</v>
      </c>
      <c r="BQ6">
        <f>ANALYTICS_BASE!$U21</f>
        <v>1.124845948413719</v>
      </c>
      <c r="BR6">
        <f>ANALYTICS_BASE!$V21</f>
        <v>200</v>
      </c>
      <c r="BT6" t="str">
        <f>INDEX(ANALYTICS_BASE!$P$20:$P$28,MATCH(LARGE($BW$20:$BW$28,ROW()-4),$BW$20:$BW$28,0))</f>
        <v>7. MEZANNINE</v>
      </c>
      <c r="BU6">
        <f>INDEX(ANALYTICS_BASE!$S$20:$S$28,MATCH(LARGE($BW$20:$BW$28,ROW()-4),$BW$20:$BW$28,0))</f>
        <v>6.42</v>
      </c>
      <c r="BV6">
        <f>INDEX(ANALYTICS_BASE!$AA$20:$AA$28,MATCH(LARGE($BW$20:$BW$28,ROW()-4),$BW$20:$BW$28,0))</f>
        <v>20248.679999999997</v>
      </c>
      <c r="BY6" t="str">
        <f>ANALYTICS_BASE!$P33</f>
        <v>SKU00078</v>
      </c>
      <c r="BZ6">
        <f>ANALYTICS_BASE!$Q33</f>
        <v>485</v>
      </c>
      <c r="CA6">
        <f>ANALYTICS_BASE!$R33</f>
        <v>3.2930513595166161E-2</v>
      </c>
    </row>
    <row r="7" spans="1:79" x14ac:dyDescent="0.35">
      <c r="K7" s="106" t="s">
        <v>385</v>
      </c>
      <c r="L7" s="106"/>
      <c r="M7" s="106"/>
      <c r="N7" s="106"/>
      <c r="O7" s="106"/>
      <c r="P7" s="106"/>
      <c r="Q7" s="106"/>
      <c r="R7" s="106"/>
      <c r="BA7">
        <f>ANALYTICS_BASE!$D7</f>
        <v>231</v>
      </c>
      <c r="BB7">
        <f>IF(ANALYTICS_BASE!$M7="NO",ANALYTICS_BASE!$G7,NA())</f>
        <v>8.0399999999999991</v>
      </c>
      <c r="BC7" t="e">
        <f>IF(ANALYTICS_BASE!$M7="SÍ",ANALYTICS_BASE!$G7,NA())</f>
        <v>#N/A</v>
      </c>
      <c r="BE7" t="str">
        <f>ANALYTICS_BASE!$P87</f>
        <v>Pastillas</v>
      </c>
      <c r="BF7">
        <f>ANALYTICS_BASE!$Q87</f>
        <v>6.4333356830172992</v>
      </c>
      <c r="BG7">
        <f>ANALYTICS_BASE!$R87-ANALYTICS_BASE!$Q87</f>
        <v>9.762698591132688</v>
      </c>
      <c r="BH7">
        <f>ANALYTICS_BASE!$S87-ANALYTICS_BASE!$R87</f>
        <v>10.719489005843908</v>
      </c>
      <c r="BI7">
        <f>ANALYTICS_BASE!$T87-ANALYTICS_BASE!$S87</f>
        <v>12.511145906881996</v>
      </c>
      <c r="BJ7">
        <f>ANALYTICS_BASE!$U87-ANALYTICS_BASE!$T87</f>
        <v>7.0933646040814722</v>
      </c>
      <c r="BL7" t="str">
        <f>ANALYTICS_BASE!$P22</f>
        <v>8. CLUSTER</v>
      </c>
      <c r="BM7">
        <f>ANALYTICS_BASE!$R22</f>
        <v>291.71428571428572</v>
      </c>
      <c r="BN7">
        <f>ANALYTICS_BASE!$S22</f>
        <v>4.01</v>
      </c>
      <c r="BP7" t="str">
        <f>ANALYTICS_BASE!$P22</f>
        <v>8. CLUSTER</v>
      </c>
      <c r="BQ7">
        <f>ANALYTICS_BASE!$U22</f>
        <v>2.8136089112789318</v>
      </c>
      <c r="BR7">
        <f>ANALYTICS_BASE!$V22</f>
        <v>300</v>
      </c>
      <c r="BT7" t="str">
        <f>INDEX(ANALYTICS_BASE!$P$20:$P$28,MATCH(LARGE($BW$20:$BW$28,ROW()-4),$BW$20:$BW$28,0))</f>
        <v>14. LATERALES</v>
      </c>
      <c r="BU7">
        <f>INDEX(ANALYTICS_BASE!$S$20:$S$28,MATCH(LARGE($BW$20:$BW$28,ROW()-4),$BW$20:$BW$28,0))</f>
        <v>5.63</v>
      </c>
      <c r="BV7">
        <f>INDEX(ANALYTICS_BASE!$AA$20:$AA$28,MATCH(LARGE($BW$20:$BW$28,ROW()-4),$BW$20:$BW$28,0))</f>
        <v>0</v>
      </c>
      <c r="BY7" t="str">
        <f>ANALYTICS_BASE!$P34</f>
        <v>SKU00026</v>
      </c>
      <c r="BZ7">
        <f>ANALYTICS_BASE!$Q34</f>
        <v>484</v>
      </c>
      <c r="CA7">
        <f>ANALYTICS_BASE!$R34</f>
        <v>4.9177576367908697E-2</v>
      </c>
    </row>
    <row r="8" spans="1:79" x14ac:dyDescent="0.35">
      <c r="K8" s="106"/>
      <c r="L8" s="106"/>
      <c r="M8" s="106"/>
      <c r="N8" s="106"/>
      <c r="O8" s="106"/>
      <c r="P8" s="106"/>
      <c r="Q8" s="106"/>
      <c r="R8" s="106"/>
      <c r="BA8">
        <f>ANALYTICS_BASE!$D8</f>
        <v>208</v>
      </c>
      <c r="BB8">
        <f>IF(ANALYTICS_BASE!$M8="NO",ANALYTICS_BASE!$G8,NA())</f>
        <v>6.42</v>
      </c>
      <c r="BC8" t="e">
        <f>IF(ANALYTICS_BASE!$M8="SÍ",ANALYTICS_BASE!$G8,NA())</f>
        <v>#N/A</v>
      </c>
      <c r="BE8" t="str">
        <f>ANALYTICS_BASE!$P88</f>
        <v>Correas</v>
      </c>
      <c r="BF8">
        <f>ANALYTICS_BASE!$Q88</f>
        <v>0.84413046129393976</v>
      </c>
      <c r="BG8">
        <f>ANALYTICS_BASE!$R88-ANALYTICS_BASE!$Q88</f>
        <v>10.952886650657025</v>
      </c>
      <c r="BH8">
        <f>ANALYTICS_BASE!$S88-ANALYTICS_BASE!$R88</f>
        <v>9.8167713638062466</v>
      </c>
      <c r="BI8">
        <f>ANALYTICS_BASE!$T88-ANALYTICS_BASE!$S88</f>
        <v>12.390592822622523</v>
      </c>
      <c r="BJ8">
        <f>ANALYTICS_BASE!$U88-ANALYTICS_BASE!$T88</f>
        <v>12.863753144088626</v>
      </c>
      <c r="BL8" t="str">
        <f>ANALYTICS_BASE!$P23</f>
        <v>4. RACK BALDA</v>
      </c>
      <c r="BM8">
        <f>ANALYTICS_BASE!$R23</f>
        <v>266.16666666666669</v>
      </c>
      <c r="BN8">
        <f>ANALYTICS_BASE!$S23</f>
        <v>4.82</v>
      </c>
      <c r="BP8" t="str">
        <f>ANALYTICS_BASE!$P23</f>
        <v>4. RACK BALDA</v>
      </c>
      <c r="BQ8">
        <f>ANALYTICS_BASE!$U23</f>
        <v>4.4088402988203885</v>
      </c>
      <c r="BR8">
        <f>ANALYTICS_BASE!$V23</f>
        <v>250</v>
      </c>
      <c r="BT8" t="str">
        <f>INDEX(ANALYTICS_BASE!$P$20:$P$28,MATCH(LARGE($BW$20:$BW$28,ROW()-4),$BW$20:$BW$28,0))</f>
        <v>5. RACK SIMPLE</v>
      </c>
      <c r="BU8">
        <f>INDEX(ANALYTICS_BASE!$S$20:$S$28,MATCH(LARGE($BW$20:$BW$28,ROW()-4),$BW$20:$BW$28,0))</f>
        <v>5.63</v>
      </c>
      <c r="BV8">
        <f>INDEX(ANALYTICS_BASE!$AA$20:$AA$28,MATCH(LARGE($BW$20:$BW$28,ROW()-4),$BW$20:$BW$28,0))</f>
        <v>26894.509999999995</v>
      </c>
      <c r="BY8" t="str">
        <f>ANALYTICS_BASE!$P35</f>
        <v>SKU00069</v>
      </c>
      <c r="BZ8">
        <f>ANALYTICS_BASE!$Q35</f>
        <v>479</v>
      </c>
      <c r="CA8">
        <f>ANALYTICS_BASE!$R35</f>
        <v>6.5256797583081574E-2</v>
      </c>
    </row>
    <row r="9" spans="1:79" x14ac:dyDescent="0.35">
      <c r="K9" s="106"/>
      <c r="L9" s="106"/>
      <c r="M9" s="106"/>
      <c r="N9" s="106"/>
      <c r="O9" s="106"/>
      <c r="P9" s="106"/>
      <c r="Q9" s="106"/>
      <c r="R9" s="106"/>
      <c r="BA9">
        <f>ANALYTICS_BASE!$D9</f>
        <v>465</v>
      </c>
      <c r="BB9">
        <f>IF(ANALYTICS_BASE!$M9="NO",ANALYTICS_BASE!$G9,NA())</f>
        <v>1.6</v>
      </c>
      <c r="BC9" t="e">
        <f>IF(ANALYTICS_BASE!$M9="SÍ",ANALYTICS_BASE!$G9,NA())</f>
        <v>#N/A</v>
      </c>
      <c r="BE9" t="str">
        <f>ANALYTICS_BASE!$P89</f>
        <v>Soportes</v>
      </c>
      <c r="BF9">
        <f>ANALYTICS_BASE!$Q89</f>
        <v>4.3105055365252536</v>
      </c>
      <c r="BG9">
        <f>ANALYTICS_BASE!$R89-ANALYTICS_BASE!$Q89</f>
        <v>8.7584994922929855</v>
      </c>
      <c r="BH9">
        <f>ANALYTICS_BASE!$S89-ANALYTICS_BASE!$R89</f>
        <v>13.420711197388865</v>
      </c>
      <c r="BI9">
        <f>ANALYTICS_BASE!$T89-ANALYTICS_BASE!$S89</f>
        <v>10.69627559599628</v>
      </c>
      <c r="BJ9">
        <f>ANALYTICS_BASE!$U89-ANALYTICS_BASE!$T89</f>
        <v>12.103705656271359</v>
      </c>
      <c r="BL9" t="str">
        <f>ANALYTICS_BASE!$P24</f>
        <v>5. RACK SIMPLE</v>
      </c>
      <c r="BM9">
        <f>ANALYTICS_BASE!$R24</f>
        <v>318.46666666666664</v>
      </c>
      <c r="BN9">
        <f>ANALYTICS_BASE!$S24</f>
        <v>5.63</v>
      </c>
      <c r="BP9" t="str">
        <f>ANALYTICS_BASE!$P24</f>
        <v>5. RACK SIMPLE</v>
      </c>
      <c r="BQ9">
        <f>ANALYTICS_BASE!$U24</f>
        <v>5.256161762917416</v>
      </c>
      <c r="BR9">
        <f>ANALYTICS_BASE!$V24</f>
        <v>280</v>
      </c>
      <c r="BT9" t="str">
        <f>INDEX(ANALYTICS_BASE!$P$20:$P$28,MATCH(LARGE($BW$20:$BW$28,ROW()-4),$BW$20:$BW$28,0))</f>
        <v>4. RACK BALDA</v>
      </c>
      <c r="BU9">
        <f>INDEX(ANALYTICS_BASE!$S$20:$S$28,MATCH(LARGE($BW$20:$BW$28,ROW()-4),$BW$20:$BW$28,0))</f>
        <v>4.82</v>
      </c>
      <c r="BV9">
        <f>INDEX(ANALYTICS_BASE!$AA$20:$AA$28,MATCH(LARGE($BW$20:$BW$28,ROW()-4),$BW$20:$BW$28,0))</f>
        <v>15395.08</v>
      </c>
      <c r="BY9" t="str">
        <f>ANALYTICS_BASE!$P36</f>
        <v>SKU00005</v>
      </c>
      <c r="BZ9">
        <f>ANALYTICS_BASE!$Q36</f>
        <v>465</v>
      </c>
      <c r="CA9">
        <f>ANALYTICS_BASE!$R36</f>
        <v>8.0866062437059419E-2</v>
      </c>
    </row>
    <row r="10" spans="1:79" x14ac:dyDescent="0.35">
      <c r="K10" s="104" t="s">
        <v>386</v>
      </c>
      <c r="L10" s="104"/>
      <c r="M10" s="104"/>
      <c r="N10" s="104"/>
      <c r="O10" s="104"/>
      <c r="P10" s="104"/>
      <c r="Q10" s="104"/>
      <c r="R10" s="104"/>
      <c r="BA10">
        <f>ANALYTICS_BASE!$D10</f>
        <v>161</v>
      </c>
      <c r="BB10">
        <f>IF(ANALYTICS_BASE!$M10="NO",ANALYTICS_BASE!$G10,NA())</f>
        <v>1.6</v>
      </c>
      <c r="BC10" t="e">
        <f>IF(ANALYTICS_BASE!$M10="SÍ",ANALYTICS_BASE!$G10,NA())</f>
        <v>#N/A</v>
      </c>
      <c r="BL10" t="str">
        <f>ANALYTICS_BASE!$P25</f>
        <v>6. RACK COLGANTES</v>
      </c>
      <c r="BM10">
        <f>ANALYTICS_BASE!$R25</f>
        <v>272.5</v>
      </c>
      <c r="BN10">
        <f>ANALYTICS_BASE!$S25</f>
        <v>3.61</v>
      </c>
      <c r="BP10" t="str">
        <f>ANALYTICS_BASE!$P25</f>
        <v>6. RACK COLGANTES</v>
      </c>
      <c r="BQ10">
        <f>ANALYTICS_BASE!$U25</f>
        <v>1.6933486596874612</v>
      </c>
      <c r="BR10">
        <f>ANALYTICS_BASE!$V25</f>
        <v>180</v>
      </c>
      <c r="BT10" t="str">
        <f>INDEX(ANALYTICS_BASE!$P$20:$P$28,MATCH(LARGE($BW$20:$BW$28,ROW()-4),$BW$20:$BW$28,0))</f>
        <v>8. CLUSTER</v>
      </c>
      <c r="BU10">
        <f>INDEX(ANALYTICS_BASE!$S$20:$S$28,MATCH(LARGE($BW$20:$BW$28,ROW()-4),$BW$20:$BW$28,0))</f>
        <v>4.01</v>
      </c>
      <c r="BV10">
        <f>INDEX(ANALYTICS_BASE!$AA$20:$AA$28,MATCH(LARGE($BW$20:$BW$28,ROW()-4),$BW$20:$BW$28,0))</f>
        <v>8188.4199999999992</v>
      </c>
      <c r="BY10" t="str">
        <f>ANALYTICS_BASE!$P37</f>
        <v>SKU00100</v>
      </c>
      <c r="BZ10">
        <f>ANALYTICS_BASE!$Q37</f>
        <v>460</v>
      </c>
      <c r="CA10">
        <f>ANALYTICS_BASE!$R37</f>
        <v>9.6307485733467604E-2</v>
      </c>
    </row>
    <row r="11" spans="1:79" x14ac:dyDescent="0.35">
      <c r="K11" s="107" t="s">
        <v>387</v>
      </c>
      <c r="L11" s="107"/>
      <c r="M11" s="107"/>
      <c r="N11" s="107"/>
      <c r="O11" s="107"/>
      <c r="P11" s="107"/>
      <c r="Q11" s="107"/>
      <c r="R11" s="107"/>
      <c r="BA11">
        <f>ANALYTICS_BASE!$D11</f>
        <v>102</v>
      </c>
      <c r="BB11">
        <f>IF(ANALYTICS_BASE!$M11="NO",ANALYTICS_BASE!$G11,NA())</f>
        <v>8.0399999999999991</v>
      </c>
      <c r="BC11" t="e">
        <f>IF(ANALYTICS_BASE!$M11="SÍ",ANALYTICS_BASE!$G11,NA())</f>
        <v>#N/A</v>
      </c>
      <c r="BL11" t="str">
        <f>ANALYTICS_BASE!$P26</f>
        <v>1. LLANTAS</v>
      </c>
      <c r="BM11">
        <f>ANALYTICS_BASE!$R26</f>
        <v>273</v>
      </c>
      <c r="BN11">
        <f>ANALYTICS_BASE!$S26</f>
        <v>8.0399999999999991</v>
      </c>
      <c r="BP11" t="str">
        <f>ANALYTICS_BASE!$P26</f>
        <v>1. LLANTAS</v>
      </c>
      <c r="BQ11">
        <f>ANALYTICS_BASE!$U26</f>
        <v>3.7767000346159687</v>
      </c>
      <c r="BR11">
        <f>ANALYTICS_BASE!$V26</f>
        <v>400</v>
      </c>
      <c r="BT11" t="str">
        <f>INDEX(ANALYTICS_BASE!$P$20:$P$28,MATCH(LARGE($BW$20:$BW$28,ROW()-4),$BW$20:$BW$28,0))</f>
        <v>6. RACK COLGANTES</v>
      </c>
      <c r="BU11">
        <f>INDEX(ANALYTICS_BASE!$S$20:$S$28,MATCH(LARGE($BW$20:$BW$28,ROW()-4),$BW$20:$BW$28,0))</f>
        <v>3.61</v>
      </c>
      <c r="BV11">
        <f>INDEX(ANALYTICS_BASE!$AA$20:$AA$28,MATCH(LARGE($BW$20:$BW$28,ROW()-4),$BW$20:$BW$28,0))</f>
        <v>5902.35</v>
      </c>
      <c r="BY11" t="str">
        <f>ANALYTICS_BASE!$P38</f>
        <v>SKU00062</v>
      </c>
      <c r="BZ11">
        <f>ANALYTICS_BASE!$Q38</f>
        <v>453</v>
      </c>
      <c r="CA11">
        <f>ANALYTICS_BASE!$R38</f>
        <v>0.11151393084927828</v>
      </c>
    </row>
    <row r="12" spans="1:79" x14ac:dyDescent="0.35">
      <c r="K12" s="107"/>
      <c r="L12" s="107"/>
      <c r="M12" s="107"/>
      <c r="N12" s="107"/>
      <c r="O12" s="107"/>
      <c r="P12" s="107"/>
      <c r="Q12" s="107"/>
      <c r="R12" s="107"/>
      <c r="BA12">
        <f>ANALYTICS_BASE!$D12</f>
        <v>236</v>
      </c>
      <c r="BB12">
        <f>IF(ANALYTICS_BASE!$M12="NO",ANALYTICS_BASE!$G12,NA())</f>
        <v>4.01</v>
      </c>
      <c r="BC12" t="e">
        <f>IF(ANALYTICS_BASE!$M12="SÍ",ANALYTICS_BASE!$G12,NA())</f>
        <v>#N/A</v>
      </c>
      <c r="BE12" s="51" t="s">
        <v>382</v>
      </c>
      <c r="BL12" t="str">
        <f>ANALYTICS_BASE!$P27</f>
        <v>7. MEZANNINE</v>
      </c>
      <c r="BM12">
        <f>ANALYTICS_BASE!$R27</f>
        <v>315.39999999999998</v>
      </c>
      <c r="BN12">
        <f>ANALYTICS_BASE!$S27</f>
        <v>6.42</v>
      </c>
      <c r="BP12" t="str">
        <f>ANALYTICS_BASE!$P27</f>
        <v>7. MEZANNINE</v>
      </c>
      <c r="BQ12">
        <f>ANALYTICS_BASE!$U27</f>
        <v>2.8004790278472886</v>
      </c>
      <c r="BR12">
        <f>ANALYTICS_BASE!$V27</f>
        <v>350</v>
      </c>
      <c r="BT12" t="str">
        <f>INDEX(ANALYTICS_BASE!$P$20:$P$28,MATCH(LARGE($BW$20:$BW$28,ROW()-4),$BW$20:$BW$28,0))</f>
        <v>10. UBICACIÓN RECIBO</v>
      </c>
      <c r="BU12">
        <f>INDEX(ANALYTICS_BASE!$S$20:$S$28,MATCH(LARGE($BW$20:$BW$28,ROW()-4),$BW$20:$BW$28,0))</f>
        <v>2.0099999999999998</v>
      </c>
      <c r="BV12">
        <f>INDEX(ANALYTICS_BASE!$AA$20:$AA$28,MATCH(LARGE($BW$20:$BW$28,ROW()-4),$BW$20:$BW$28,0))</f>
        <v>5320.4699999999993</v>
      </c>
      <c r="BY12" t="str">
        <f>ANALYTICS_BASE!$P39</f>
        <v>SKU00054</v>
      </c>
      <c r="BZ12">
        <f>ANALYTICS_BASE!$Q39</f>
        <v>452</v>
      </c>
      <c r="CA12">
        <f>ANALYTICS_BASE!$R39</f>
        <v>0.12668680765357501</v>
      </c>
    </row>
    <row r="13" spans="1:79" x14ac:dyDescent="0.35">
      <c r="K13" s="107"/>
      <c r="L13" s="107"/>
      <c r="M13" s="107"/>
      <c r="N13" s="107"/>
      <c r="O13" s="107"/>
      <c r="P13" s="107"/>
      <c r="Q13" s="107"/>
      <c r="R13" s="107"/>
      <c r="BA13">
        <f>ANALYTICS_BASE!$D13</f>
        <v>432</v>
      </c>
      <c r="BB13" t="e">
        <f>IF(ANALYTICS_BASE!$M13="NO",ANALYTICS_BASE!$G13,NA())</f>
        <v>#N/A</v>
      </c>
      <c r="BC13">
        <f>IF(ANALYTICS_BASE!$M13="SÍ",ANALYTICS_BASE!$G13,NA())</f>
        <v>4.82</v>
      </c>
      <c r="BE13" t="s">
        <v>45</v>
      </c>
      <c r="BF13" t="s">
        <v>445</v>
      </c>
      <c r="BG13" t="s">
        <v>380</v>
      </c>
      <c r="BH13" t="s">
        <v>446</v>
      </c>
      <c r="BI13" t="s">
        <v>447</v>
      </c>
      <c r="BJ13" t="s">
        <v>381</v>
      </c>
      <c r="BP13" t="str">
        <f>ANALYTICS_BASE!$P28</f>
        <v>14. LATERALES</v>
      </c>
      <c r="BQ13">
        <f>ANALYTICS_BASE!$U28</f>
        <v>0</v>
      </c>
      <c r="BR13">
        <f>ANALYTICS_BASE!$V28</f>
        <v>220</v>
      </c>
      <c r="BT13" t="str">
        <f>INDEX(ANALYTICS_BASE!$P$20:$P$28,MATCH(LARGE($BW$20:$BW$28,ROW()-4),$BW$20:$BW$28,0))</f>
        <v>2. PISO</v>
      </c>
      <c r="BU13">
        <f>INDEX(ANALYTICS_BASE!$S$20:$S$28,MATCH(LARGE($BW$20:$BW$28,ROW()-4),$BW$20:$BW$28,0))</f>
        <v>1.6</v>
      </c>
      <c r="BV13">
        <f>INDEX(ANALYTICS_BASE!$AA$20:$AA$28,MATCH(LARGE($BW$20:$BW$28,ROW()-4),$BW$20:$BW$28,0))</f>
        <v>13193.6</v>
      </c>
      <c r="BY13" t="str">
        <f>ANALYTICS_BASE!$P40</f>
        <v>SKU00018</v>
      </c>
      <c r="BZ13">
        <f>ANALYTICS_BASE!$Q40</f>
        <v>451</v>
      </c>
      <c r="CA13">
        <f>ANALYTICS_BASE!$R40</f>
        <v>0.14182611614635784</v>
      </c>
    </row>
    <row r="14" spans="1:79" x14ac:dyDescent="0.35">
      <c r="K14" s="105" t="s">
        <v>388</v>
      </c>
      <c r="L14" s="105"/>
      <c r="M14" s="105"/>
      <c r="N14" s="105"/>
      <c r="O14" s="105"/>
      <c r="P14" s="105"/>
      <c r="Q14" s="105"/>
      <c r="R14" s="105"/>
      <c r="BA14">
        <f>ANALYTICS_BASE!$D14</f>
        <v>316</v>
      </c>
      <c r="BB14">
        <f>IF(ANALYTICS_BASE!$M14="NO",ANALYTICS_BASE!$G14,NA())</f>
        <v>5.63</v>
      </c>
      <c r="BC14" t="e">
        <f>IF(ANALYTICS_BASE!$M14="SÍ",ANALYTICS_BASE!$G14,NA())</f>
        <v>#N/A</v>
      </c>
      <c r="BE14" t="str">
        <f>ANALYTICS_BASE!$P93</f>
        <v>Filtros</v>
      </c>
      <c r="BF14">
        <f>ANALYTICS_BASE!$Q93</f>
        <v>5.9263022433111101E-2</v>
      </c>
      <c r="BG14">
        <f>ANALYTICS_BASE!$R93-ANALYTICS_BASE!$Q93</f>
        <v>0.12111935610942734</v>
      </c>
      <c r="BH14">
        <f>ANALYTICS_BASE!$S93-ANALYTICS_BASE!$R93</f>
        <v>0.12842183184589109</v>
      </c>
      <c r="BI14">
        <f>ANALYTICS_BASE!$T93-ANALYTICS_BASE!$S93</f>
        <v>9.0160694905906336E-2</v>
      </c>
      <c r="BJ14">
        <f>ANALYTICS_BASE!$U93-ANALYTICS_BASE!$T93</f>
        <v>8.7348177199715549E-2</v>
      </c>
      <c r="BY14" t="str">
        <f>ANALYTICS_BASE!$P41</f>
        <v>SKU00030</v>
      </c>
      <c r="BZ14">
        <f>ANALYTICS_BASE!$Q41</f>
        <v>450</v>
      </c>
      <c r="CA14">
        <f>ANALYTICS_BASE!$R41</f>
        <v>0.15693185632762671</v>
      </c>
    </row>
    <row r="15" spans="1:79" x14ac:dyDescent="0.35">
      <c r="K15" s="108" t="s">
        <v>389</v>
      </c>
      <c r="L15" s="108"/>
      <c r="M15" s="108"/>
      <c r="N15" s="108"/>
      <c r="O15" s="108"/>
      <c r="P15" s="108"/>
      <c r="Q15" s="108"/>
      <c r="R15" s="108"/>
      <c r="BA15">
        <f>ANALYTICS_BASE!$D15</f>
        <v>219</v>
      </c>
      <c r="BB15">
        <f>IF(ANALYTICS_BASE!$M15="NO",ANALYTICS_BASE!$G15,NA())</f>
        <v>6.42</v>
      </c>
      <c r="BC15" t="e">
        <f>IF(ANALYTICS_BASE!$M15="SÍ",ANALYTICS_BASE!$G15,NA())</f>
        <v>#N/A</v>
      </c>
      <c r="BE15" t="str">
        <f>ANALYTICS_BASE!$P94</f>
        <v>Lubricantes</v>
      </c>
      <c r="BF15">
        <f>ANALYTICS_BASE!$Q94</f>
        <v>7.6137625475689766E-2</v>
      </c>
      <c r="BG15">
        <f>ANALYTICS_BASE!$R94-ANALYTICS_BASE!$Q94</f>
        <v>6.0112880956913736E-2</v>
      </c>
      <c r="BH15">
        <f>ANALYTICS_BASE!$S94-ANALYTICS_BASE!$R94</f>
        <v>5.2422583751522339E-2</v>
      </c>
      <c r="BI15">
        <f>ANALYTICS_BASE!$T94-ANALYTICS_BASE!$S94</f>
        <v>0.18412772056666712</v>
      </c>
      <c r="BJ15">
        <f>ANALYTICS_BASE!$U94-ANALYTICS_BASE!$T94</f>
        <v>0.11365862272210442</v>
      </c>
      <c r="BY15" t="str">
        <f>ANALYTICS_BASE!$P42</f>
        <v>SKU00035</v>
      </c>
      <c r="BZ15">
        <f>ANALYTICS_BASE!$Q42</f>
        <v>448</v>
      </c>
      <c r="CA15">
        <f>ANALYTICS_BASE!$R42</f>
        <v>0.17197045988586773</v>
      </c>
    </row>
    <row r="16" spans="1:79" x14ac:dyDescent="0.35">
      <c r="K16" s="108"/>
      <c r="L16" s="108"/>
      <c r="M16" s="108"/>
      <c r="N16" s="108"/>
      <c r="O16" s="108"/>
      <c r="P16" s="108"/>
      <c r="Q16" s="108"/>
      <c r="R16" s="108"/>
      <c r="BA16">
        <f>ANALYTICS_BASE!$D16</f>
        <v>150</v>
      </c>
      <c r="BB16">
        <f>IF(ANALYTICS_BASE!$M16="NO",ANALYTICS_BASE!$G16,NA())</f>
        <v>6.42</v>
      </c>
      <c r="BC16" t="e">
        <f>IF(ANALYTICS_BASE!$M16="SÍ",ANALYTICS_BASE!$G16,NA())</f>
        <v>#N/A</v>
      </c>
      <c r="BE16" t="str">
        <f>ANALYTICS_BASE!$P95</f>
        <v>Pastillas</v>
      </c>
      <c r="BF16">
        <f>ANALYTICS_BASE!$Q95</f>
        <v>5.2484952705621077E-2</v>
      </c>
      <c r="BG16">
        <f>ANALYTICS_BASE!$R95-ANALYTICS_BASE!$Q95</f>
        <v>7.4647376186558603E-2</v>
      </c>
      <c r="BH16">
        <f>ANALYTICS_BASE!$S95-ANALYTICS_BASE!$R95</f>
        <v>0.15558572451589037</v>
      </c>
      <c r="BI16">
        <f>ANALYTICS_BASE!$T95-ANALYTICS_BASE!$S95</f>
        <v>0.11429406083496224</v>
      </c>
      <c r="BJ16">
        <f>ANALYTICS_BASE!$U95-ANALYTICS_BASE!$T95</f>
        <v>7.5762409460852831E-2</v>
      </c>
      <c r="BY16" t="str">
        <f>ANALYTICS_BASE!$P43</f>
        <v>SKU00025</v>
      </c>
      <c r="BZ16">
        <f>ANALYTICS_BASE!$Q43</f>
        <v>439</v>
      </c>
      <c r="CA16">
        <f>ANALYTICS_BASE!$R43</f>
        <v>0.18670694864048337</v>
      </c>
    </row>
    <row r="17" spans="1:79" x14ac:dyDescent="0.35">
      <c r="K17" s="108"/>
      <c r="L17" s="108"/>
      <c r="M17" s="108"/>
      <c r="N17" s="108"/>
      <c r="O17" s="108"/>
      <c r="P17" s="108"/>
      <c r="Q17" s="108"/>
      <c r="R17" s="108"/>
      <c r="BA17">
        <f>ANALYTICS_BASE!$D17</f>
        <v>398</v>
      </c>
      <c r="BB17" t="e">
        <f>IF(ANALYTICS_BASE!$M17="NO",ANALYTICS_BASE!$G17,NA())</f>
        <v>#N/A</v>
      </c>
      <c r="BC17">
        <f>IF(ANALYTICS_BASE!$M17="SÍ",ANALYTICS_BASE!$G17,NA())</f>
        <v>5.63</v>
      </c>
      <c r="BE17" t="str">
        <f>ANALYTICS_BASE!$P96</f>
        <v>Correas</v>
      </c>
      <c r="BF17">
        <f>ANALYTICS_BASE!$Q96</f>
        <v>6.1438607034842843E-2</v>
      </c>
      <c r="BG17">
        <f>ANALYTICS_BASE!$R96-ANALYTICS_BASE!$Q96</f>
        <v>0.13285379067554964</v>
      </c>
      <c r="BH17">
        <f>ANALYTICS_BASE!$S96-ANALYTICS_BASE!$R96</f>
        <v>0.10500478459498214</v>
      </c>
      <c r="BI17">
        <f>ANALYTICS_BASE!$T96-ANALYTICS_BASE!$S96</f>
        <v>7.3370874843647182E-2</v>
      </c>
      <c r="BJ17">
        <f>ANALYTICS_BASE!$U96-ANALYTICS_BASE!$T96</f>
        <v>0.1043304346149781</v>
      </c>
      <c r="BY17" t="str">
        <f>ANALYTICS_BASE!$P44</f>
        <v>SKU00084</v>
      </c>
      <c r="BZ17">
        <f>ANALYTICS_BASE!$Q44</f>
        <v>438</v>
      </c>
      <c r="CA17">
        <f>ANALYTICS_BASE!$R44</f>
        <v>0.2014098690835851</v>
      </c>
    </row>
    <row r="18" spans="1:79" x14ac:dyDescent="0.35">
      <c r="BA18">
        <f>ANALYTICS_BASE!$D18</f>
        <v>352</v>
      </c>
      <c r="BB18">
        <f>IF(ANALYTICS_BASE!$M18="NO",ANALYTICS_BASE!$G18,NA())</f>
        <v>1.6</v>
      </c>
      <c r="BC18" t="e">
        <f>IF(ANALYTICS_BASE!$M18="SÍ",ANALYTICS_BASE!$G18,NA())</f>
        <v>#N/A</v>
      </c>
      <c r="BE18" t="str">
        <f>ANALYTICS_BASE!$P97</f>
        <v>Soportes</v>
      </c>
      <c r="BF18">
        <f>ANALYTICS_BASE!$Q97</f>
        <v>7.0902685723998979E-2</v>
      </c>
      <c r="BG18">
        <f>ANALYTICS_BASE!$R97-ANALYTICS_BASE!$Q97</f>
        <v>6.1941001826665246E-2</v>
      </c>
      <c r="BH18">
        <f>ANALYTICS_BASE!$S97-ANALYTICS_BASE!$R97</f>
        <v>6.0326659257094295E-2</v>
      </c>
      <c r="BI18">
        <f>ANALYTICS_BASE!$T97-ANALYTICS_BASE!$S97</f>
        <v>0.13814234722383961</v>
      </c>
      <c r="BJ18">
        <f>ANALYTICS_BASE!$U97-ANALYTICS_BASE!$T97</f>
        <v>0.1627864274386347</v>
      </c>
      <c r="BY18" t="str">
        <f>ANALYTICS_BASE!$P45</f>
        <v>SKU00009</v>
      </c>
      <c r="BZ18">
        <f>ANALYTICS_BASE!$Q45</f>
        <v>432</v>
      </c>
      <c r="CA18">
        <f>ANALYTICS_BASE!$R45</f>
        <v>0.21591137965760324</v>
      </c>
    </row>
    <row r="19" spans="1:79" ht="26" customHeight="1" x14ac:dyDescent="0.35">
      <c r="A19" s="102" t="s">
        <v>390</v>
      </c>
      <c r="B19" s="101"/>
      <c r="C19" s="101"/>
      <c r="D19" s="101"/>
      <c r="E19" s="101"/>
      <c r="F19" s="101"/>
      <c r="G19" s="101"/>
      <c r="H19" s="101"/>
      <c r="I19" s="101"/>
      <c r="J19" s="101"/>
      <c r="K19" s="101"/>
      <c r="L19" s="101"/>
      <c r="M19" s="101"/>
      <c r="N19" s="101"/>
      <c r="O19" s="101"/>
      <c r="P19" s="101"/>
      <c r="Q19" s="101"/>
      <c r="R19" s="101"/>
      <c r="BA19">
        <f>ANALYTICS_BASE!$D19</f>
        <v>401</v>
      </c>
      <c r="BB19">
        <f>IF(ANALYTICS_BASE!$M19="NO",ANALYTICS_BASE!$G19,NA())</f>
        <v>1.6</v>
      </c>
      <c r="BC19" t="e">
        <f>IF(ANALYTICS_BASE!$M19="SÍ",ANALYTICS_BASE!$G19,NA())</f>
        <v>#N/A</v>
      </c>
      <c r="BY19" t="str">
        <f>ANALYTICS_BASE!$P46</f>
        <v>SKU00034</v>
      </c>
      <c r="BZ19">
        <f>ANALYTICS_BASE!$Q46</f>
        <v>431</v>
      </c>
      <c r="CA19">
        <f>ANALYTICS_BASE!$R46</f>
        <v>0.2303793219201074</v>
      </c>
    </row>
    <row r="20" spans="1:79" x14ac:dyDescent="0.35">
      <c r="K20" s="103" t="s">
        <v>384</v>
      </c>
      <c r="L20" s="103"/>
      <c r="M20" s="103"/>
      <c r="N20" s="103"/>
      <c r="O20" s="103"/>
      <c r="P20" s="103"/>
      <c r="Q20" s="103"/>
      <c r="R20" s="103"/>
      <c r="BA20">
        <f>ANALYTICS_BASE!$D20</f>
        <v>302</v>
      </c>
      <c r="BB20">
        <f>IF(ANALYTICS_BASE!$M20="NO",ANALYTICS_BASE!$G20,NA())</f>
        <v>1.6</v>
      </c>
      <c r="BC20" t="e">
        <f>IF(ANALYTICS_BASE!$M20="SÍ",ANALYTICS_BASE!$G20,NA())</f>
        <v>#N/A</v>
      </c>
      <c r="BW20">
        <f>ANALYTICS_BASE!$S20+ROW()/1000000</f>
        <v>1.60002</v>
      </c>
      <c r="BY20" t="str">
        <f>ANALYTICS_BASE!$P47</f>
        <v>SKU00045</v>
      </c>
      <c r="BZ20">
        <f>ANALYTICS_BASE!$Q47</f>
        <v>426</v>
      </c>
      <c r="CA20">
        <f>ANALYTICS_BASE!$R47</f>
        <v>0.24467942262504197</v>
      </c>
    </row>
    <row r="21" spans="1:79" x14ac:dyDescent="0.35">
      <c r="K21" s="106" t="s">
        <v>391</v>
      </c>
      <c r="L21" s="106"/>
      <c r="M21" s="106"/>
      <c r="N21" s="106"/>
      <c r="O21" s="106"/>
      <c r="P21" s="106"/>
      <c r="Q21" s="106"/>
      <c r="R21" s="106"/>
      <c r="BA21">
        <f>ANALYTICS_BASE!$D21</f>
        <v>314</v>
      </c>
      <c r="BB21">
        <f>IF(ANALYTICS_BASE!$M21="NO",ANALYTICS_BASE!$G21,NA())</f>
        <v>1.6</v>
      </c>
      <c r="BC21" t="e">
        <f>IF(ANALYTICS_BASE!$M21="SÍ",ANALYTICS_BASE!$G21,NA())</f>
        <v>#N/A</v>
      </c>
      <c r="BW21">
        <f>ANALYTICS_BASE!$S21+ROW()/1000000</f>
        <v>2.0100209999999996</v>
      </c>
      <c r="BY21" t="str">
        <f>ANALYTICS_BASE!$P48</f>
        <v>SKU00059</v>
      </c>
      <c r="BZ21">
        <f>ANALYTICS_BASE!$Q48</f>
        <v>426</v>
      </c>
      <c r="CA21">
        <f>ANALYTICS_BASE!$R48</f>
        <v>0.25897952332997648</v>
      </c>
    </row>
    <row r="22" spans="1:79" x14ac:dyDescent="0.35">
      <c r="K22" s="106"/>
      <c r="L22" s="106"/>
      <c r="M22" s="106"/>
      <c r="N22" s="106"/>
      <c r="O22" s="106"/>
      <c r="P22" s="106"/>
      <c r="Q22" s="106"/>
      <c r="R22" s="106"/>
      <c r="BA22">
        <f>ANALYTICS_BASE!$D22</f>
        <v>451</v>
      </c>
      <c r="BB22">
        <f>IF(ANALYTICS_BASE!$M22="NO",ANALYTICS_BASE!$G22,NA())</f>
        <v>1.6</v>
      </c>
      <c r="BC22" t="e">
        <f>IF(ANALYTICS_BASE!$M22="SÍ",ANALYTICS_BASE!$G22,NA())</f>
        <v>#N/A</v>
      </c>
      <c r="BW22">
        <f>ANALYTICS_BASE!$S22+ROW()/1000000</f>
        <v>4.0100220000000002</v>
      </c>
      <c r="BY22" t="str">
        <f>ANALYTICS_BASE!$P49</f>
        <v>SKU00044</v>
      </c>
      <c r="BZ22">
        <f>ANALYTICS_BASE!$Q49</f>
        <v>425</v>
      </c>
      <c r="CA22">
        <f>ANALYTICS_BASE!$R49</f>
        <v>0.27324605572339711</v>
      </c>
    </row>
    <row r="23" spans="1:79" x14ac:dyDescent="0.35">
      <c r="K23" s="106"/>
      <c r="L23" s="106"/>
      <c r="M23" s="106"/>
      <c r="N23" s="106"/>
      <c r="O23" s="106"/>
      <c r="P23" s="106"/>
      <c r="Q23" s="106"/>
      <c r="R23" s="106"/>
      <c r="BA23">
        <f>ANALYTICS_BASE!$D23</f>
        <v>186</v>
      </c>
      <c r="BB23">
        <f>IF(ANALYTICS_BASE!$M23="NO",ANALYTICS_BASE!$G23,NA())</f>
        <v>5.63</v>
      </c>
      <c r="BC23" t="e">
        <f>IF(ANALYTICS_BASE!$M23="SÍ",ANALYTICS_BASE!$G23,NA())</f>
        <v>#N/A</v>
      </c>
      <c r="BW23">
        <f>ANALYTICS_BASE!$S23+ROW()/1000000</f>
        <v>4.8200229999999999</v>
      </c>
      <c r="BY23" t="str">
        <f>ANALYTICS_BASE!$P50</f>
        <v>SKU00051</v>
      </c>
      <c r="BZ23">
        <f>ANALYTICS_BASE!$Q50</f>
        <v>423</v>
      </c>
      <c r="CA23">
        <f>ANALYTICS_BASE!$R50</f>
        <v>0.28744545149378986</v>
      </c>
    </row>
    <row r="24" spans="1:79" x14ac:dyDescent="0.35">
      <c r="K24" s="104" t="s">
        <v>386</v>
      </c>
      <c r="L24" s="104"/>
      <c r="M24" s="104"/>
      <c r="N24" s="104"/>
      <c r="O24" s="104"/>
      <c r="P24" s="104"/>
      <c r="Q24" s="104"/>
      <c r="R24" s="104"/>
      <c r="BA24">
        <f>ANALYTICS_BASE!$D24</f>
        <v>399</v>
      </c>
      <c r="BB24">
        <f>IF(ANALYTICS_BASE!$M24="NO",ANALYTICS_BASE!$G24,NA())</f>
        <v>1.6</v>
      </c>
      <c r="BC24" t="e">
        <f>IF(ANALYTICS_BASE!$M24="SÍ",ANALYTICS_BASE!$G24,NA())</f>
        <v>#N/A</v>
      </c>
      <c r="BW24">
        <f>ANALYTICS_BASE!$S24+ROW()/1000000</f>
        <v>5.6300239999999997</v>
      </c>
      <c r="BY24" t="str">
        <f>ANALYTICS_BASE!$P51</f>
        <v>SKU00001</v>
      </c>
      <c r="BZ24">
        <f>ANALYTICS_BASE!$Q51</f>
        <v>422</v>
      </c>
      <c r="CA24">
        <f>ANALYTICS_BASE!$R51</f>
        <v>0.3016112789526687</v>
      </c>
    </row>
    <row r="25" spans="1:79" x14ac:dyDescent="0.35">
      <c r="K25" s="107" t="s">
        <v>392</v>
      </c>
      <c r="L25" s="107"/>
      <c r="M25" s="107"/>
      <c r="N25" s="107"/>
      <c r="O25" s="107"/>
      <c r="P25" s="107"/>
      <c r="Q25" s="107"/>
      <c r="R25" s="107"/>
      <c r="BA25">
        <f>ANALYTICS_BASE!$D25</f>
        <v>167</v>
      </c>
      <c r="BB25">
        <f>IF(ANALYTICS_BASE!$M25="NO",ANALYTICS_BASE!$G25,NA())</f>
        <v>5.63</v>
      </c>
      <c r="BC25" t="e">
        <f>IF(ANALYTICS_BASE!$M25="SÍ",ANALYTICS_BASE!$G25,NA())</f>
        <v>#N/A</v>
      </c>
      <c r="BW25">
        <f>ANALYTICS_BASE!$S25+ROW()/1000000</f>
        <v>3.6100249999999998</v>
      </c>
    </row>
    <row r="26" spans="1:79" x14ac:dyDescent="0.35">
      <c r="K26" s="107"/>
      <c r="L26" s="107"/>
      <c r="M26" s="107"/>
      <c r="N26" s="107"/>
      <c r="O26" s="107"/>
      <c r="P26" s="107"/>
      <c r="Q26" s="107"/>
      <c r="R26" s="107"/>
      <c r="BA26">
        <f>ANALYTICS_BASE!$D26</f>
        <v>298</v>
      </c>
      <c r="BB26">
        <f>IF(ANALYTICS_BASE!$M26="NO",ANALYTICS_BASE!$G26,NA())</f>
        <v>2.0099999999999998</v>
      </c>
      <c r="BC26" t="e">
        <f>IF(ANALYTICS_BASE!$M26="SÍ",ANALYTICS_BASE!$G26,NA())</f>
        <v>#N/A</v>
      </c>
      <c r="BW26">
        <f>ANALYTICS_BASE!$S26+ROW()/1000000</f>
        <v>8.0400259999999992</v>
      </c>
    </row>
    <row r="27" spans="1:79" x14ac:dyDescent="0.35">
      <c r="K27" s="107"/>
      <c r="L27" s="107"/>
      <c r="M27" s="107"/>
      <c r="N27" s="107"/>
      <c r="O27" s="107"/>
      <c r="P27" s="107"/>
      <c r="Q27" s="107"/>
      <c r="R27" s="107"/>
      <c r="BA27">
        <f>ANALYTICS_BASE!$D27</f>
        <v>186</v>
      </c>
      <c r="BB27">
        <f>IF(ANALYTICS_BASE!$M27="NO",ANALYTICS_BASE!$G27,NA())</f>
        <v>1.6</v>
      </c>
      <c r="BC27" t="e">
        <f>IF(ANALYTICS_BASE!$M27="SÍ",ANALYTICS_BASE!$G27,NA())</f>
        <v>#N/A</v>
      </c>
      <c r="BW27">
        <f>ANALYTICS_BASE!$S27+ROW()/1000000</f>
        <v>6.4200270000000002</v>
      </c>
    </row>
    <row r="28" spans="1:79" x14ac:dyDescent="0.35">
      <c r="K28" s="105" t="s">
        <v>388</v>
      </c>
      <c r="L28" s="105"/>
      <c r="M28" s="105"/>
      <c r="N28" s="105"/>
      <c r="O28" s="105"/>
      <c r="P28" s="105"/>
      <c r="Q28" s="105"/>
      <c r="R28" s="105"/>
      <c r="BA28">
        <f>ANALYTICS_BASE!$D28</f>
        <v>171</v>
      </c>
      <c r="BB28">
        <f>IF(ANALYTICS_BASE!$M28="NO",ANALYTICS_BASE!$G28,NA())</f>
        <v>4.82</v>
      </c>
      <c r="BC28" t="e">
        <f>IF(ANALYTICS_BASE!$M28="SÍ",ANALYTICS_BASE!$G28,NA())</f>
        <v>#N/A</v>
      </c>
      <c r="BW28">
        <f>ANALYTICS_BASE!$S28+ROW()/1000000</f>
        <v>5.6300280000000003</v>
      </c>
    </row>
    <row r="29" spans="1:79" x14ac:dyDescent="0.35">
      <c r="K29" s="108" t="s">
        <v>393</v>
      </c>
      <c r="L29" s="108"/>
      <c r="M29" s="108"/>
      <c r="N29" s="108"/>
      <c r="O29" s="108"/>
      <c r="P29" s="108"/>
      <c r="Q29" s="108"/>
      <c r="R29" s="108"/>
      <c r="BA29">
        <f>ANALYTICS_BASE!$D29</f>
        <v>439</v>
      </c>
      <c r="BB29" t="e">
        <f>IF(ANALYTICS_BASE!$M29="NO",ANALYTICS_BASE!$G29,NA())</f>
        <v>#N/A</v>
      </c>
      <c r="BC29">
        <f>IF(ANALYTICS_BASE!$M29="SÍ",ANALYTICS_BASE!$G29,NA())</f>
        <v>5.63</v>
      </c>
    </row>
    <row r="30" spans="1:79" x14ac:dyDescent="0.35">
      <c r="K30" s="108"/>
      <c r="L30" s="108"/>
      <c r="M30" s="108"/>
      <c r="N30" s="108"/>
      <c r="O30" s="108"/>
      <c r="P30" s="108"/>
      <c r="Q30" s="108"/>
      <c r="R30" s="108"/>
      <c r="BA30">
        <f>ANALYTICS_BASE!$D30</f>
        <v>484</v>
      </c>
      <c r="BB30">
        <f>IF(ANALYTICS_BASE!$M30="NO",ANALYTICS_BASE!$G30,NA())</f>
        <v>3.61</v>
      </c>
      <c r="BC30" t="e">
        <f>IF(ANALYTICS_BASE!$M30="SÍ",ANALYTICS_BASE!$G30,NA())</f>
        <v>#N/A</v>
      </c>
    </row>
    <row r="31" spans="1:79" x14ac:dyDescent="0.35">
      <c r="K31" s="108"/>
      <c r="L31" s="108"/>
      <c r="M31" s="108"/>
      <c r="N31" s="108"/>
      <c r="O31" s="108"/>
      <c r="P31" s="108"/>
      <c r="Q31" s="108"/>
      <c r="R31" s="108"/>
      <c r="BA31">
        <f>ANALYTICS_BASE!$D31</f>
        <v>72</v>
      </c>
      <c r="BB31">
        <f>IF(ANALYTICS_BASE!$M31="NO",ANALYTICS_BASE!$G31,NA())</f>
        <v>2.0099999999999998</v>
      </c>
      <c r="BC31" t="e">
        <f>IF(ANALYTICS_BASE!$M31="SÍ",ANALYTICS_BASE!$G31,NA())</f>
        <v>#N/A</v>
      </c>
    </row>
    <row r="32" spans="1:79" x14ac:dyDescent="0.35">
      <c r="BA32">
        <f>ANALYTICS_BASE!$D32</f>
        <v>353</v>
      </c>
      <c r="BB32">
        <f>IF(ANALYTICS_BASE!$M32="NO",ANALYTICS_BASE!$G32,NA())</f>
        <v>1.6</v>
      </c>
      <c r="BC32" t="e">
        <f>IF(ANALYTICS_BASE!$M32="SÍ",ANALYTICS_BASE!$G32,NA())</f>
        <v>#N/A</v>
      </c>
    </row>
    <row r="33" spans="1:55" ht="26" customHeight="1" x14ac:dyDescent="0.35">
      <c r="A33" s="102" t="s">
        <v>394</v>
      </c>
      <c r="B33" s="101"/>
      <c r="C33" s="101"/>
      <c r="D33" s="101"/>
      <c r="E33" s="101"/>
      <c r="F33" s="101"/>
      <c r="G33" s="101"/>
      <c r="H33" s="101"/>
      <c r="I33" s="101"/>
      <c r="J33" s="101"/>
      <c r="K33" s="101"/>
      <c r="L33" s="101"/>
      <c r="M33" s="101"/>
      <c r="N33" s="101"/>
      <c r="O33" s="101"/>
      <c r="P33" s="101"/>
      <c r="Q33" s="101"/>
      <c r="R33" s="101"/>
      <c r="BA33">
        <f>ANALYTICS_BASE!$D33</f>
        <v>419</v>
      </c>
      <c r="BB33" t="e">
        <f>IF(ANALYTICS_BASE!$M33="NO",ANALYTICS_BASE!$G33,NA())</f>
        <v>#N/A</v>
      </c>
      <c r="BC33">
        <f>IF(ANALYTICS_BASE!$M33="SÍ",ANALYTICS_BASE!$G33,NA())</f>
        <v>4.82</v>
      </c>
    </row>
    <row r="34" spans="1:55" x14ac:dyDescent="0.35">
      <c r="K34" s="103" t="s">
        <v>384</v>
      </c>
      <c r="L34" s="103"/>
      <c r="M34" s="103"/>
      <c r="N34" s="103"/>
      <c r="O34" s="103"/>
      <c r="P34" s="103"/>
      <c r="Q34" s="103"/>
      <c r="R34" s="103"/>
      <c r="BA34">
        <f>ANALYTICS_BASE!$D34</f>
        <v>450</v>
      </c>
      <c r="BB34">
        <f>IF(ANALYTICS_BASE!$M34="NO",ANALYTICS_BASE!$G34,NA())</f>
        <v>1.6</v>
      </c>
      <c r="BC34" t="e">
        <f>IF(ANALYTICS_BASE!$M34="SÍ",ANALYTICS_BASE!$G34,NA())</f>
        <v>#N/A</v>
      </c>
    </row>
    <row r="35" spans="1:55" ht="34" customHeight="1" x14ac:dyDescent="0.35">
      <c r="A35" s="109" t="s">
        <v>25</v>
      </c>
      <c r="B35" s="110"/>
      <c r="C35" s="110"/>
      <c r="D35" s="111" t="s">
        <v>325</v>
      </c>
      <c r="E35" s="111" t="s">
        <v>395</v>
      </c>
      <c r="F35" s="111" t="s">
        <v>306</v>
      </c>
      <c r="G35" s="112" t="s">
        <v>396</v>
      </c>
      <c r="K35" s="106" t="s">
        <v>397</v>
      </c>
      <c r="L35" s="106"/>
      <c r="M35" s="106"/>
      <c r="N35" s="106"/>
      <c r="O35" s="106"/>
      <c r="P35" s="106"/>
      <c r="Q35" s="106"/>
      <c r="R35" s="106"/>
      <c r="BA35">
        <f>ANALYTICS_BASE!$D35</f>
        <v>135</v>
      </c>
      <c r="BB35">
        <f>IF(ANALYTICS_BASE!$M35="NO",ANALYTICS_BASE!$G35,NA())</f>
        <v>4.01</v>
      </c>
      <c r="BC35" t="e">
        <f>IF(ANALYTICS_BASE!$M35="SÍ",ANALYTICS_BASE!$G35,NA())</f>
        <v>#N/A</v>
      </c>
    </row>
    <row r="36" spans="1:55" x14ac:dyDescent="0.35">
      <c r="A36" s="113" t="str">
        <f>ANALYTICS_BASE!$P20</f>
        <v>2. PISO</v>
      </c>
      <c r="B36" s="114"/>
      <c r="C36" s="114"/>
      <c r="D36" s="115">
        <f>ANALYTICS_BASE!$Q20</f>
        <v>27</v>
      </c>
      <c r="E36" s="116">
        <f>$D36/SUM($D$36:$D$44)</f>
        <v>0.27</v>
      </c>
      <c r="F36" s="117">
        <f>ANALYTICS_BASE!$S20</f>
        <v>1.6</v>
      </c>
      <c r="G36" s="118">
        <f>ANALYTICS_BASE!$AA20</f>
        <v>13193.6</v>
      </c>
      <c r="K36" s="106"/>
      <c r="L36" s="106"/>
      <c r="M36" s="106"/>
      <c r="N36" s="106"/>
      <c r="O36" s="106"/>
      <c r="P36" s="106"/>
      <c r="Q36" s="106"/>
      <c r="R36" s="106"/>
      <c r="BA36">
        <f>ANALYTICS_BASE!$D36</f>
        <v>296</v>
      </c>
      <c r="BB36">
        <f>IF(ANALYTICS_BASE!$M36="NO",ANALYTICS_BASE!$G36,NA())</f>
        <v>1.6</v>
      </c>
      <c r="BC36" t="e">
        <f>IF(ANALYTICS_BASE!$M36="SÍ",ANALYTICS_BASE!$G36,NA())</f>
        <v>#N/A</v>
      </c>
    </row>
    <row r="37" spans="1:55" x14ac:dyDescent="0.35">
      <c r="A37" s="113" t="str">
        <f>ANALYTICS_BASE!$P21</f>
        <v>10. UBICACIÓN RECIBO</v>
      </c>
      <c r="B37" s="114"/>
      <c r="C37" s="114"/>
      <c r="D37" s="115">
        <f>ANALYTICS_BASE!$Q21</f>
        <v>8</v>
      </c>
      <c r="E37" s="116">
        <f t="shared" ref="E37:E44" si="0">$D37/SUM($D$36:$D$44)</f>
        <v>0.08</v>
      </c>
      <c r="F37" s="117">
        <f>ANALYTICS_BASE!$S21</f>
        <v>2.0099999999999998</v>
      </c>
      <c r="G37" s="118">
        <f>ANALYTICS_BASE!$AA21</f>
        <v>5320.4699999999993</v>
      </c>
      <c r="K37" s="106"/>
      <c r="L37" s="106"/>
      <c r="M37" s="106"/>
      <c r="N37" s="106"/>
      <c r="O37" s="106"/>
      <c r="P37" s="106"/>
      <c r="Q37" s="106"/>
      <c r="R37" s="106"/>
      <c r="BA37">
        <f>ANALYTICS_BASE!$D37</f>
        <v>201</v>
      </c>
      <c r="BB37">
        <f>IF(ANALYTICS_BASE!$M37="NO",ANALYTICS_BASE!$G37,NA())</f>
        <v>1.6</v>
      </c>
      <c r="BC37" t="e">
        <f>IF(ANALYTICS_BASE!$M37="SÍ",ANALYTICS_BASE!$G37,NA())</f>
        <v>#N/A</v>
      </c>
    </row>
    <row r="38" spans="1:55" x14ac:dyDescent="0.35">
      <c r="A38" s="113" t="str">
        <f>ANALYTICS_BASE!$P22</f>
        <v>8. CLUSTER</v>
      </c>
      <c r="B38" s="114"/>
      <c r="C38" s="114"/>
      <c r="D38" s="115">
        <f>ANALYTICS_BASE!$Q22</f>
        <v>7</v>
      </c>
      <c r="E38" s="116">
        <f t="shared" si="0"/>
        <v>7.0000000000000007E-2</v>
      </c>
      <c r="F38" s="117">
        <f>ANALYTICS_BASE!$S22</f>
        <v>4.01</v>
      </c>
      <c r="G38" s="118">
        <f>ANALYTICS_BASE!$AA22</f>
        <v>8188.4199999999992</v>
      </c>
      <c r="K38" s="104" t="s">
        <v>386</v>
      </c>
      <c r="L38" s="104"/>
      <c r="M38" s="104"/>
      <c r="N38" s="104"/>
      <c r="O38" s="104"/>
      <c r="P38" s="104"/>
      <c r="Q38" s="104"/>
      <c r="R38" s="104"/>
      <c r="BA38">
        <f>ANALYTICS_BASE!$D38</f>
        <v>431</v>
      </c>
      <c r="BB38" t="e">
        <f>IF(ANALYTICS_BASE!$M38="NO",ANALYTICS_BASE!$G38,NA())</f>
        <v>#N/A</v>
      </c>
      <c r="BC38">
        <f>IF(ANALYTICS_BASE!$M38="SÍ",ANALYTICS_BASE!$G38,NA())</f>
        <v>6.42</v>
      </c>
    </row>
    <row r="39" spans="1:55" x14ac:dyDescent="0.35">
      <c r="A39" s="113" t="str">
        <f>ANALYTICS_BASE!$P23</f>
        <v>4. RACK BALDA</v>
      </c>
      <c r="B39" s="114"/>
      <c r="C39" s="114"/>
      <c r="D39" s="115">
        <f>ANALYTICS_BASE!$Q23</f>
        <v>12</v>
      </c>
      <c r="E39" s="116">
        <f t="shared" si="0"/>
        <v>0.12</v>
      </c>
      <c r="F39" s="117">
        <f>ANALYTICS_BASE!$S23</f>
        <v>4.82</v>
      </c>
      <c r="G39" s="118">
        <f>ANALYTICS_BASE!$AA23</f>
        <v>15395.08</v>
      </c>
      <c r="K39" s="107" t="s">
        <v>398</v>
      </c>
      <c r="L39" s="107"/>
      <c r="M39" s="107"/>
      <c r="N39" s="107"/>
      <c r="O39" s="107"/>
      <c r="P39" s="107"/>
      <c r="Q39" s="107"/>
      <c r="R39" s="107"/>
      <c r="BA39">
        <f>ANALYTICS_BASE!$D39</f>
        <v>448</v>
      </c>
      <c r="BB39" t="e">
        <f>IF(ANALYTICS_BASE!$M39="NO",ANALYTICS_BASE!$G39,NA())</f>
        <v>#N/A</v>
      </c>
      <c r="BC39">
        <f>IF(ANALYTICS_BASE!$M39="SÍ",ANALYTICS_BASE!$G39,NA())</f>
        <v>5.63</v>
      </c>
    </row>
    <row r="40" spans="1:55" x14ac:dyDescent="0.35">
      <c r="A40" s="113" t="str">
        <f>ANALYTICS_BASE!$P24</f>
        <v>5. RACK SIMPLE</v>
      </c>
      <c r="B40" s="114"/>
      <c r="C40" s="114"/>
      <c r="D40" s="115">
        <f>ANALYTICS_BASE!$Q24</f>
        <v>15</v>
      </c>
      <c r="E40" s="116">
        <f t="shared" si="0"/>
        <v>0.15</v>
      </c>
      <c r="F40" s="117">
        <f>ANALYTICS_BASE!$S24</f>
        <v>5.63</v>
      </c>
      <c r="G40" s="118">
        <f>ANALYTICS_BASE!$AA24</f>
        <v>26894.509999999995</v>
      </c>
      <c r="K40" s="107"/>
      <c r="L40" s="107"/>
      <c r="M40" s="107"/>
      <c r="N40" s="107"/>
      <c r="O40" s="107"/>
      <c r="P40" s="107"/>
      <c r="Q40" s="107"/>
      <c r="R40" s="107"/>
      <c r="BA40">
        <f>ANALYTICS_BASE!$D40</f>
        <v>338</v>
      </c>
      <c r="BB40">
        <f>IF(ANALYTICS_BASE!$M40="NO",ANALYTICS_BASE!$G40,NA())</f>
        <v>4.01</v>
      </c>
      <c r="BC40" t="e">
        <f>IF(ANALYTICS_BASE!$M40="SÍ",ANALYTICS_BASE!$G40,NA())</f>
        <v>#N/A</v>
      </c>
    </row>
    <row r="41" spans="1:55" x14ac:dyDescent="0.35">
      <c r="A41" s="113" t="str">
        <f>ANALYTICS_BASE!$P25</f>
        <v>6. RACK COLGANTES</v>
      </c>
      <c r="B41" s="114"/>
      <c r="C41" s="114"/>
      <c r="D41" s="115">
        <f>ANALYTICS_BASE!$Q25</f>
        <v>6</v>
      </c>
      <c r="E41" s="116">
        <f t="shared" si="0"/>
        <v>0.06</v>
      </c>
      <c r="F41" s="117">
        <f>ANALYTICS_BASE!$S25</f>
        <v>3.61</v>
      </c>
      <c r="G41" s="118">
        <f>ANALYTICS_BASE!$AA25</f>
        <v>5902.35</v>
      </c>
      <c r="K41" s="107"/>
      <c r="L41" s="107"/>
      <c r="M41" s="107"/>
      <c r="N41" s="107"/>
      <c r="O41" s="107"/>
      <c r="P41" s="107"/>
      <c r="Q41" s="107"/>
      <c r="R41" s="107"/>
      <c r="BA41">
        <f>ANALYTICS_BASE!$D41</f>
        <v>294</v>
      </c>
      <c r="BB41">
        <f>IF(ANALYTICS_BASE!$M41="NO",ANALYTICS_BASE!$G41,NA())</f>
        <v>6.42</v>
      </c>
      <c r="BC41" t="e">
        <f>IF(ANALYTICS_BASE!$M41="SÍ",ANALYTICS_BASE!$G41,NA())</f>
        <v>#N/A</v>
      </c>
    </row>
    <row r="42" spans="1:55" x14ac:dyDescent="0.35">
      <c r="A42" s="113" t="str">
        <f>ANALYTICS_BASE!$P26</f>
        <v>1. LLANTAS</v>
      </c>
      <c r="B42" s="114"/>
      <c r="C42" s="114"/>
      <c r="D42" s="115">
        <f>ANALYTICS_BASE!$Q26</f>
        <v>15</v>
      </c>
      <c r="E42" s="116">
        <f t="shared" si="0"/>
        <v>0.15</v>
      </c>
      <c r="F42" s="117">
        <f>ANALYTICS_BASE!$S26</f>
        <v>8.0399999999999991</v>
      </c>
      <c r="G42" s="118">
        <f>ANALYTICS_BASE!$AA26</f>
        <v>32923.799999999996</v>
      </c>
      <c r="K42" s="105" t="s">
        <v>388</v>
      </c>
      <c r="L42" s="105"/>
      <c r="M42" s="105"/>
      <c r="N42" s="105"/>
      <c r="O42" s="105"/>
      <c r="P42" s="105"/>
      <c r="Q42" s="105"/>
      <c r="R42" s="105"/>
      <c r="BA42">
        <f>ANALYTICS_BASE!$D42</f>
        <v>74</v>
      </c>
      <c r="BB42">
        <f>IF(ANALYTICS_BASE!$M42="NO",ANALYTICS_BASE!$G42,NA())</f>
        <v>3.61</v>
      </c>
      <c r="BC42" t="e">
        <f>IF(ANALYTICS_BASE!$M42="SÍ",ANALYTICS_BASE!$G42,NA())</f>
        <v>#N/A</v>
      </c>
    </row>
    <row r="43" spans="1:55" x14ac:dyDescent="0.35">
      <c r="A43" s="113" t="str">
        <f>ANALYTICS_BASE!$P27</f>
        <v>7. MEZANNINE</v>
      </c>
      <c r="B43" s="114"/>
      <c r="C43" s="114"/>
      <c r="D43" s="115">
        <f>ANALYTICS_BASE!$Q27</f>
        <v>10</v>
      </c>
      <c r="E43" s="116">
        <f t="shared" si="0"/>
        <v>0.1</v>
      </c>
      <c r="F43" s="117">
        <f>ANALYTICS_BASE!$S27</f>
        <v>6.42</v>
      </c>
      <c r="G43" s="118">
        <f>ANALYTICS_BASE!$AA27</f>
        <v>20248.679999999997</v>
      </c>
      <c r="K43" s="108" t="s">
        <v>399</v>
      </c>
      <c r="L43" s="108"/>
      <c r="M43" s="108"/>
      <c r="N43" s="108"/>
      <c r="O43" s="108"/>
      <c r="P43" s="108"/>
      <c r="Q43" s="108"/>
      <c r="R43" s="108"/>
      <c r="BA43">
        <f>ANALYTICS_BASE!$D43</f>
        <v>314</v>
      </c>
      <c r="BB43">
        <f>IF(ANALYTICS_BASE!$M43="NO",ANALYTICS_BASE!$G43,NA())</f>
        <v>5.63</v>
      </c>
      <c r="BC43" t="e">
        <f>IF(ANALYTICS_BASE!$M43="SÍ",ANALYTICS_BASE!$G43,NA())</f>
        <v>#N/A</v>
      </c>
    </row>
    <row r="44" spans="1:55" x14ac:dyDescent="0.35">
      <c r="A44" s="119" t="str">
        <f>ANALYTICS_BASE!$P28</f>
        <v>14. LATERALES</v>
      </c>
      <c r="B44" s="120"/>
      <c r="C44" s="120"/>
      <c r="D44" s="121">
        <f>ANALYTICS_BASE!$Q28</f>
        <v>0</v>
      </c>
      <c r="E44" s="122">
        <f t="shared" si="0"/>
        <v>0</v>
      </c>
      <c r="F44" s="123">
        <f>ANALYTICS_BASE!$S28</f>
        <v>5.63</v>
      </c>
      <c r="G44" s="124">
        <f>ANALYTICS_BASE!$AA28</f>
        <v>0</v>
      </c>
      <c r="K44" s="108"/>
      <c r="L44" s="108"/>
      <c r="M44" s="108"/>
      <c r="N44" s="108"/>
      <c r="O44" s="108"/>
      <c r="P44" s="108"/>
      <c r="Q44" s="108"/>
      <c r="R44" s="108"/>
      <c r="BA44">
        <f>ANALYTICS_BASE!$D44</f>
        <v>266</v>
      </c>
      <c r="BB44">
        <f>IF(ANALYTICS_BASE!$M44="NO",ANALYTICS_BASE!$G44,NA())</f>
        <v>1.6</v>
      </c>
      <c r="BC44" t="e">
        <f>IF(ANALYTICS_BASE!$M44="SÍ",ANALYTICS_BASE!$G44,NA())</f>
        <v>#N/A</v>
      </c>
    </row>
    <row r="45" spans="1:55" x14ac:dyDescent="0.35">
      <c r="K45" s="108"/>
      <c r="L45" s="108"/>
      <c r="M45" s="108"/>
      <c r="N45" s="108"/>
      <c r="O45" s="108"/>
      <c r="P45" s="108"/>
      <c r="Q45" s="108"/>
      <c r="R45" s="108"/>
      <c r="BA45">
        <f>ANALYTICS_BASE!$D45</f>
        <v>265</v>
      </c>
      <c r="BB45">
        <f>IF(ANALYTICS_BASE!$M45="NO",ANALYTICS_BASE!$G45,NA())</f>
        <v>1.6</v>
      </c>
      <c r="BC45" t="e">
        <f>IF(ANALYTICS_BASE!$M45="SÍ",ANALYTICS_BASE!$G45,NA())</f>
        <v>#N/A</v>
      </c>
    </row>
    <row r="46" spans="1:55" x14ac:dyDescent="0.35">
      <c r="BA46">
        <f>ANALYTICS_BASE!$D46</f>
        <v>84</v>
      </c>
      <c r="BB46">
        <f>IF(ANALYTICS_BASE!$M46="NO",ANALYTICS_BASE!$G46,NA())</f>
        <v>1.6</v>
      </c>
      <c r="BC46" t="e">
        <f>IF(ANALYTICS_BASE!$M46="SÍ",ANALYTICS_BASE!$G46,NA())</f>
        <v>#N/A</v>
      </c>
    </row>
    <row r="47" spans="1:55" ht="26" customHeight="1" x14ac:dyDescent="0.35">
      <c r="A47" s="102" t="s">
        <v>400</v>
      </c>
      <c r="B47" s="101"/>
      <c r="C47" s="101"/>
      <c r="D47" s="101"/>
      <c r="E47" s="101"/>
      <c r="F47" s="101"/>
      <c r="G47" s="101"/>
      <c r="H47" s="101"/>
      <c r="I47" s="101"/>
      <c r="J47" s="101"/>
      <c r="K47" s="101"/>
      <c r="L47" s="101"/>
      <c r="M47" s="101"/>
      <c r="N47" s="101"/>
      <c r="O47" s="101"/>
      <c r="P47" s="101"/>
      <c r="Q47" s="101"/>
      <c r="R47" s="101"/>
      <c r="BA47">
        <f>ANALYTICS_BASE!$D47</f>
        <v>340</v>
      </c>
      <c r="BB47">
        <f>IF(ANALYTICS_BASE!$M47="NO",ANALYTICS_BASE!$G47,NA())</f>
        <v>6.42</v>
      </c>
      <c r="BC47" t="e">
        <f>IF(ANALYTICS_BASE!$M47="SÍ",ANALYTICS_BASE!$G47,NA())</f>
        <v>#N/A</v>
      </c>
    </row>
    <row r="48" spans="1:55" x14ac:dyDescent="0.35">
      <c r="K48" s="103" t="s">
        <v>384</v>
      </c>
      <c r="L48" s="103"/>
      <c r="M48" s="103"/>
      <c r="N48" s="103"/>
      <c r="O48" s="103"/>
      <c r="P48" s="103"/>
      <c r="Q48" s="103"/>
      <c r="R48" s="103"/>
      <c r="BA48">
        <f>ANALYTICS_BASE!$D48</f>
        <v>425</v>
      </c>
      <c r="BB48" t="e">
        <f>IF(ANALYTICS_BASE!$M48="NO",ANALYTICS_BASE!$G48,NA())</f>
        <v>#N/A</v>
      </c>
      <c r="BC48">
        <f>IF(ANALYTICS_BASE!$M48="SÍ",ANALYTICS_BASE!$G48,NA())</f>
        <v>5.63</v>
      </c>
    </row>
    <row r="49" spans="1:55" x14ac:dyDescent="0.35">
      <c r="K49" s="106" t="s">
        <v>401</v>
      </c>
      <c r="L49" s="106"/>
      <c r="M49" s="106"/>
      <c r="N49" s="106"/>
      <c r="O49" s="106"/>
      <c r="P49" s="106"/>
      <c r="Q49" s="106"/>
      <c r="R49" s="106"/>
      <c r="BA49">
        <f>ANALYTICS_BASE!$D49</f>
        <v>426</v>
      </c>
      <c r="BB49">
        <f>IF(ANALYTICS_BASE!$M49="NO",ANALYTICS_BASE!$G49,NA())</f>
        <v>2.0099999999999998</v>
      </c>
      <c r="BC49" t="e">
        <f>IF(ANALYTICS_BASE!$M49="SÍ",ANALYTICS_BASE!$G49,NA())</f>
        <v>#N/A</v>
      </c>
    </row>
    <row r="50" spans="1:55" x14ac:dyDescent="0.35">
      <c r="K50" s="106"/>
      <c r="L50" s="106"/>
      <c r="M50" s="106"/>
      <c r="N50" s="106"/>
      <c r="O50" s="106"/>
      <c r="P50" s="106"/>
      <c r="Q50" s="106"/>
      <c r="R50" s="106"/>
      <c r="BA50">
        <f>ANALYTICS_BASE!$D50</f>
        <v>300</v>
      </c>
      <c r="BB50">
        <f>IF(ANALYTICS_BASE!$M50="NO",ANALYTICS_BASE!$G50,NA())</f>
        <v>6.42</v>
      </c>
      <c r="BC50" t="e">
        <f>IF(ANALYTICS_BASE!$M50="SÍ",ANALYTICS_BASE!$G50,NA())</f>
        <v>#N/A</v>
      </c>
    </row>
    <row r="51" spans="1:55" x14ac:dyDescent="0.35">
      <c r="K51" s="106"/>
      <c r="L51" s="106"/>
      <c r="M51" s="106"/>
      <c r="N51" s="106"/>
      <c r="O51" s="106"/>
      <c r="P51" s="106"/>
      <c r="Q51" s="106"/>
      <c r="R51" s="106"/>
      <c r="BA51">
        <f>ANALYTICS_BASE!$D51</f>
        <v>406</v>
      </c>
      <c r="BB51">
        <f>IF(ANALYTICS_BASE!$M51="NO",ANALYTICS_BASE!$G51,NA())</f>
        <v>2.0099999999999998</v>
      </c>
      <c r="BC51" t="e">
        <f>IF(ANALYTICS_BASE!$M51="SÍ",ANALYTICS_BASE!$G51,NA())</f>
        <v>#N/A</v>
      </c>
    </row>
    <row r="52" spans="1:55" x14ac:dyDescent="0.35">
      <c r="K52" s="104" t="s">
        <v>386</v>
      </c>
      <c r="L52" s="104"/>
      <c r="M52" s="104"/>
      <c r="N52" s="104"/>
      <c r="O52" s="104"/>
      <c r="P52" s="104"/>
      <c r="Q52" s="104"/>
      <c r="R52" s="104"/>
      <c r="BA52">
        <f>ANALYTICS_BASE!$D52</f>
        <v>61</v>
      </c>
      <c r="BB52">
        <f>IF(ANALYTICS_BASE!$M52="NO",ANALYTICS_BASE!$G52,NA())</f>
        <v>1.6</v>
      </c>
      <c r="BC52" t="e">
        <f>IF(ANALYTICS_BASE!$M52="SÍ",ANALYTICS_BASE!$G52,NA())</f>
        <v>#N/A</v>
      </c>
    </row>
    <row r="53" spans="1:55" x14ac:dyDescent="0.35">
      <c r="K53" s="107" t="s">
        <v>402</v>
      </c>
      <c r="L53" s="107"/>
      <c r="M53" s="107"/>
      <c r="N53" s="107"/>
      <c r="O53" s="107"/>
      <c r="P53" s="107"/>
      <c r="Q53" s="107"/>
      <c r="R53" s="107"/>
      <c r="BA53">
        <f>ANALYTICS_BASE!$D53</f>
        <v>315</v>
      </c>
      <c r="BB53">
        <f>IF(ANALYTICS_BASE!$M53="NO",ANALYTICS_BASE!$G53,NA())</f>
        <v>8.0399999999999991</v>
      </c>
      <c r="BC53" t="e">
        <f>IF(ANALYTICS_BASE!$M53="SÍ",ANALYTICS_BASE!$G53,NA())</f>
        <v>#N/A</v>
      </c>
    </row>
    <row r="54" spans="1:55" x14ac:dyDescent="0.35">
      <c r="K54" s="107"/>
      <c r="L54" s="107"/>
      <c r="M54" s="107"/>
      <c r="N54" s="107"/>
      <c r="O54" s="107"/>
      <c r="P54" s="107"/>
      <c r="Q54" s="107"/>
      <c r="R54" s="107"/>
      <c r="BA54">
        <f>ANALYTICS_BASE!$D54</f>
        <v>363</v>
      </c>
      <c r="BB54">
        <f>IF(ANALYTICS_BASE!$M54="NO",ANALYTICS_BASE!$G54,NA())</f>
        <v>1.6</v>
      </c>
      <c r="BC54" t="e">
        <f>IF(ANALYTICS_BASE!$M54="SÍ",ANALYTICS_BASE!$G54,NA())</f>
        <v>#N/A</v>
      </c>
    </row>
    <row r="55" spans="1:55" x14ac:dyDescent="0.35">
      <c r="K55" s="107"/>
      <c r="L55" s="107"/>
      <c r="M55" s="107"/>
      <c r="N55" s="107"/>
      <c r="O55" s="107"/>
      <c r="P55" s="107"/>
      <c r="Q55" s="107"/>
      <c r="R55" s="107"/>
      <c r="BA55">
        <f>ANALYTICS_BASE!$D55</f>
        <v>423</v>
      </c>
      <c r="BB55" t="e">
        <f>IF(ANALYTICS_BASE!$M55="NO",ANALYTICS_BASE!$G55,NA())</f>
        <v>#N/A</v>
      </c>
      <c r="BC55">
        <f>IF(ANALYTICS_BASE!$M55="SÍ",ANALYTICS_BASE!$G55,NA())</f>
        <v>4.82</v>
      </c>
    </row>
    <row r="56" spans="1:55" x14ac:dyDescent="0.35">
      <c r="K56" s="105" t="s">
        <v>388</v>
      </c>
      <c r="L56" s="105"/>
      <c r="M56" s="105"/>
      <c r="N56" s="105"/>
      <c r="O56" s="105"/>
      <c r="P56" s="105"/>
      <c r="Q56" s="105"/>
      <c r="R56" s="105"/>
      <c r="BA56">
        <f>ANALYTICS_BASE!$D56</f>
        <v>227</v>
      </c>
      <c r="BB56">
        <f>IF(ANALYTICS_BASE!$M56="NO",ANALYTICS_BASE!$G56,NA())</f>
        <v>5.63</v>
      </c>
      <c r="BC56" t="e">
        <f>IF(ANALYTICS_BASE!$M56="SÍ",ANALYTICS_BASE!$G56,NA())</f>
        <v>#N/A</v>
      </c>
    </row>
    <row r="57" spans="1:55" x14ac:dyDescent="0.35">
      <c r="K57" s="108" t="s">
        <v>403</v>
      </c>
      <c r="L57" s="108"/>
      <c r="M57" s="108"/>
      <c r="N57" s="108"/>
      <c r="O57" s="108"/>
      <c r="P57" s="108"/>
      <c r="Q57" s="108"/>
      <c r="R57" s="108"/>
      <c r="BA57">
        <f>ANALYTICS_BASE!$D57</f>
        <v>382</v>
      </c>
      <c r="BB57">
        <f>IF(ANALYTICS_BASE!$M57="NO",ANALYTICS_BASE!$G57,NA())</f>
        <v>3.61</v>
      </c>
      <c r="BC57" t="e">
        <f>IF(ANALYTICS_BASE!$M57="SÍ",ANALYTICS_BASE!$G57,NA())</f>
        <v>#N/A</v>
      </c>
    </row>
    <row r="58" spans="1:55" x14ac:dyDescent="0.35">
      <c r="K58" s="108"/>
      <c r="L58" s="108"/>
      <c r="M58" s="108"/>
      <c r="N58" s="108"/>
      <c r="O58" s="108"/>
      <c r="P58" s="108"/>
      <c r="Q58" s="108"/>
      <c r="R58" s="108"/>
      <c r="BA58">
        <f>ANALYTICS_BASE!$D58</f>
        <v>452</v>
      </c>
      <c r="BB58" t="e">
        <f>IF(ANALYTICS_BASE!$M58="NO",ANALYTICS_BASE!$G58,NA())</f>
        <v>#N/A</v>
      </c>
      <c r="BC58">
        <f>IF(ANALYTICS_BASE!$M58="SÍ",ANALYTICS_BASE!$G58,NA())</f>
        <v>5.63</v>
      </c>
    </row>
    <row r="59" spans="1:55" x14ac:dyDescent="0.35">
      <c r="K59" s="108"/>
      <c r="L59" s="108"/>
      <c r="M59" s="108"/>
      <c r="N59" s="108"/>
      <c r="O59" s="108"/>
      <c r="P59" s="108"/>
      <c r="Q59" s="108"/>
      <c r="R59" s="108"/>
      <c r="BA59">
        <f>ANALYTICS_BASE!$D59</f>
        <v>332</v>
      </c>
      <c r="BB59">
        <f>IF(ANALYTICS_BASE!$M59="NO",ANALYTICS_BASE!$G59,NA())</f>
        <v>5.63</v>
      </c>
      <c r="BC59" t="e">
        <f>IF(ANALYTICS_BASE!$M59="SÍ",ANALYTICS_BASE!$G59,NA())</f>
        <v>#N/A</v>
      </c>
    </row>
    <row r="60" spans="1:55" x14ac:dyDescent="0.35">
      <c r="BA60">
        <f>ANALYTICS_BASE!$D60</f>
        <v>210</v>
      </c>
      <c r="BB60">
        <f>IF(ANALYTICS_BASE!$M60="NO",ANALYTICS_BASE!$G60,NA())</f>
        <v>4.82</v>
      </c>
      <c r="BC60" t="e">
        <f>IF(ANALYTICS_BASE!$M60="SÍ",ANALYTICS_BASE!$G60,NA())</f>
        <v>#N/A</v>
      </c>
    </row>
    <row r="61" spans="1:55" ht="26" customHeight="1" x14ac:dyDescent="0.35">
      <c r="A61" s="102" t="s">
        <v>407</v>
      </c>
      <c r="B61" s="101"/>
      <c r="C61" s="101"/>
      <c r="D61" s="101"/>
      <c r="E61" s="101"/>
      <c r="F61" s="101"/>
      <c r="G61" s="101"/>
      <c r="H61" s="101"/>
      <c r="I61" s="101"/>
      <c r="J61" s="101"/>
      <c r="K61" s="101"/>
      <c r="L61" s="101"/>
      <c r="M61" s="101"/>
      <c r="N61" s="101"/>
      <c r="O61" s="101"/>
      <c r="P61" s="101"/>
      <c r="Q61" s="101"/>
      <c r="R61" s="101"/>
      <c r="BA61">
        <f>ANALYTICS_BASE!$D61</f>
        <v>207</v>
      </c>
      <c r="BB61">
        <f>IF(ANALYTICS_BASE!$M61="NO",ANALYTICS_BASE!$G61,NA())</f>
        <v>3.61</v>
      </c>
      <c r="BC61" t="e">
        <f>IF(ANALYTICS_BASE!$M61="SÍ",ANALYTICS_BASE!$G61,NA())</f>
        <v>#N/A</v>
      </c>
    </row>
    <row r="62" spans="1:55" x14ac:dyDescent="0.35">
      <c r="K62" s="103" t="s">
        <v>384</v>
      </c>
      <c r="L62" s="103"/>
      <c r="M62" s="103"/>
      <c r="N62" s="103"/>
      <c r="O62" s="103"/>
      <c r="P62" s="103"/>
      <c r="Q62" s="103"/>
      <c r="R62" s="103"/>
      <c r="BA62">
        <f>ANALYTICS_BASE!$D62</f>
        <v>135</v>
      </c>
      <c r="BB62">
        <f>IF(ANALYTICS_BASE!$M62="NO",ANALYTICS_BASE!$G62,NA())</f>
        <v>2.0099999999999998</v>
      </c>
      <c r="BC62" t="e">
        <f>IF(ANALYTICS_BASE!$M62="SÍ",ANALYTICS_BASE!$G62,NA())</f>
        <v>#N/A</v>
      </c>
    </row>
    <row r="63" spans="1:55" ht="34" customHeight="1" x14ac:dyDescent="0.35">
      <c r="A63" s="109" t="s">
        <v>25</v>
      </c>
      <c r="B63" s="110"/>
      <c r="C63" s="110"/>
      <c r="D63" s="111" t="s">
        <v>338</v>
      </c>
      <c r="E63" s="125" t="s">
        <v>159</v>
      </c>
      <c r="F63" s="126" t="s">
        <v>160</v>
      </c>
      <c r="G63" s="127" t="s">
        <v>161</v>
      </c>
      <c r="H63" s="111" t="s">
        <v>408</v>
      </c>
      <c r="I63" s="112" t="s">
        <v>409</v>
      </c>
      <c r="K63" s="106" t="s">
        <v>410</v>
      </c>
      <c r="L63" s="106"/>
      <c r="M63" s="106"/>
      <c r="N63" s="106"/>
      <c r="O63" s="106"/>
      <c r="P63" s="106"/>
      <c r="Q63" s="106"/>
      <c r="R63" s="106"/>
      <c r="BA63">
        <f>ANALYTICS_BASE!$D63</f>
        <v>426</v>
      </c>
      <c r="BB63">
        <f>IF(ANALYTICS_BASE!$M63="NO",ANALYTICS_BASE!$G63,NA())</f>
        <v>1.6</v>
      </c>
      <c r="BC63" t="e">
        <f>IF(ANALYTICS_BASE!$M63="SÍ",ANALYTICS_BASE!$G63,NA())</f>
        <v>#N/A</v>
      </c>
    </row>
    <row r="64" spans="1:55" ht="24.5" x14ac:dyDescent="0.35">
      <c r="A64" s="113" t="str">
        <f>ANALYTICS_BASE!$P20</f>
        <v>2. PISO</v>
      </c>
      <c r="B64" s="114"/>
      <c r="C64" s="114"/>
      <c r="D64" s="117">
        <f>ANALYTICS_BASE!$S20</f>
        <v>1.6</v>
      </c>
      <c r="E64" s="115">
        <f>ANALYTICS_BASE!$X20</f>
        <v>13</v>
      </c>
      <c r="F64" s="115">
        <f>ANALYTICS_BASE!$Y20</f>
        <v>6</v>
      </c>
      <c r="G64" s="115">
        <f>ANALYTICS_BASE!$Z20</f>
        <v>8</v>
      </c>
      <c r="H64" s="116">
        <f>IFERROR($E64/SUM($E64:$G64),0)</f>
        <v>0.48148148148148145</v>
      </c>
      <c r="I64" s="128" t="str">
        <f>IF(SUM($E64:$G64)=0,"Zona ociosa",IF(AND($D64&lt;=2.01,$G64&gt;0),"Clase C ocupando zona premium",IF(AND($D64&gt;4,$E64&gt;0),"Clase A en zona lejana","Alineado")))</f>
        <v>Clase C ocupando zona premium</v>
      </c>
      <c r="K64" s="106"/>
      <c r="L64" s="106"/>
      <c r="M64" s="106"/>
      <c r="N64" s="106"/>
      <c r="O64" s="106"/>
      <c r="P64" s="106"/>
      <c r="Q64" s="106"/>
      <c r="R64" s="106"/>
      <c r="BA64">
        <f>ANALYTICS_BASE!$D64</f>
        <v>250</v>
      </c>
      <c r="BB64">
        <f>IF(ANALYTICS_BASE!$M64="NO",ANALYTICS_BASE!$G64,NA())</f>
        <v>1.6</v>
      </c>
      <c r="BC64" t="e">
        <f>IF(ANALYTICS_BASE!$M64="SÍ",ANALYTICS_BASE!$G64,NA())</f>
        <v>#N/A</v>
      </c>
    </row>
    <row r="65" spans="1:55" ht="24.5" x14ac:dyDescent="0.35">
      <c r="A65" s="113" t="str">
        <f>ANALYTICS_BASE!$P21</f>
        <v>10. UBICACIÓN RECIBO</v>
      </c>
      <c r="B65" s="114"/>
      <c r="C65" s="114"/>
      <c r="D65" s="117">
        <f>ANALYTICS_BASE!$S21</f>
        <v>2.0099999999999998</v>
      </c>
      <c r="E65" s="115">
        <f>ANALYTICS_BASE!$X21</f>
        <v>4</v>
      </c>
      <c r="F65" s="115">
        <f>ANALYTICS_BASE!$Y21</f>
        <v>2</v>
      </c>
      <c r="G65" s="115">
        <f>ANALYTICS_BASE!$Z21</f>
        <v>2</v>
      </c>
      <c r="H65" s="116">
        <f t="shared" ref="H65:H72" si="1">IFERROR($E65/SUM($E65:$G65),0)</f>
        <v>0.5</v>
      </c>
      <c r="I65" s="128" t="str">
        <f t="shared" ref="I65:I72" si="2">IF(SUM($E65:$G65)=0,"Zona ociosa",IF(AND($D65&lt;=2.01,$G65&gt;0),"Clase C ocupando zona premium",IF(AND($D65&gt;4,$E65&gt;0),"Clase A en zona lejana","Alineado")))</f>
        <v>Clase C ocupando zona premium</v>
      </c>
      <c r="K65" s="106"/>
      <c r="L65" s="106"/>
      <c r="M65" s="106"/>
      <c r="N65" s="106"/>
      <c r="O65" s="106"/>
      <c r="P65" s="106"/>
      <c r="Q65" s="106"/>
      <c r="R65" s="106"/>
      <c r="BA65">
        <f>ANALYTICS_BASE!$D65</f>
        <v>189</v>
      </c>
      <c r="BB65">
        <f>IF(ANALYTICS_BASE!$M65="NO",ANALYTICS_BASE!$G65,NA())</f>
        <v>1.6</v>
      </c>
      <c r="BC65" t="e">
        <f>IF(ANALYTICS_BASE!$M65="SÍ",ANALYTICS_BASE!$G65,NA())</f>
        <v>#N/A</v>
      </c>
    </row>
    <row r="66" spans="1:55" ht="24.5" x14ac:dyDescent="0.35">
      <c r="A66" s="113" t="str">
        <f>ANALYTICS_BASE!$P22</f>
        <v>8. CLUSTER</v>
      </c>
      <c r="B66" s="114"/>
      <c r="C66" s="114"/>
      <c r="D66" s="117">
        <f>ANALYTICS_BASE!$S22</f>
        <v>4.01</v>
      </c>
      <c r="E66" s="115">
        <f>ANALYTICS_BASE!$X22</f>
        <v>2</v>
      </c>
      <c r="F66" s="115">
        <f>ANALYTICS_BASE!$Y22</f>
        <v>3</v>
      </c>
      <c r="G66" s="115">
        <f>ANALYTICS_BASE!$Z22</f>
        <v>2</v>
      </c>
      <c r="H66" s="116">
        <f t="shared" si="1"/>
        <v>0.2857142857142857</v>
      </c>
      <c r="I66" s="128" t="str">
        <f t="shared" si="2"/>
        <v>Clase A en zona lejana</v>
      </c>
      <c r="K66" s="104" t="s">
        <v>386</v>
      </c>
      <c r="L66" s="104"/>
      <c r="M66" s="104"/>
      <c r="N66" s="104"/>
      <c r="O66" s="104"/>
      <c r="P66" s="104"/>
      <c r="Q66" s="104"/>
      <c r="R66" s="104"/>
      <c r="BA66">
        <f>ANALYTICS_BASE!$D66</f>
        <v>453</v>
      </c>
      <c r="BB66">
        <f>IF(ANALYTICS_BASE!$M66="NO",ANALYTICS_BASE!$G66,NA())</f>
        <v>1.6</v>
      </c>
      <c r="BC66" t="e">
        <f>IF(ANALYTICS_BASE!$M66="SÍ",ANALYTICS_BASE!$G66,NA())</f>
        <v>#N/A</v>
      </c>
    </row>
    <row r="67" spans="1:55" ht="24.5" x14ac:dyDescent="0.35">
      <c r="A67" s="113" t="str">
        <f>ANALYTICS_BASE!$P23</f>
        <v>4. RACK BALDA</v>
      </c>
      <c r="B67" s="114"/>
      <c r="C67" s="114"/>
      <c r="D67" s="117">
        <f>ANALYTICS_BASE!$S23</f>
        <v>4.82</v>
      </c>
      <c r="E67" s="115">
        <f>ANALYTICS_BASE!$X23</f>
        <v>5</v>
      </c>
      <c r="F67" s="115">
        <f>ANALYTICS_BASE!$Y23</f>
        <v>2</v>
      </c>
      <c r="G67" s="115">
        <f>ANALYTICS_BASE!$Z23</f>
        <v>5</v>
      </c>
      <c r="H67" s="116">
        <f t="shared" si="1"/>
        <v>0.41666666666666669</v>
      </c>
      <c r="I67" s="128" t="str">
        <f t="shared" si="2"/>
        <v>Clase A en zona lejana</v>
      </c>
      <c r="K67" s="107" t="s">
        <v>411</v>
      </c>
      <c r="L67" s="107"/>
      <c r="M67" s="107"/>
      <c r="N67" s="107"/>
      <c r="O67" s="107"/>
      <c r="P67" s="107"/>
      <c r="Q67" s="107"/>
      <c r="R67" s="107"/>
      <c r="BA67">
        <f>ANALYTICS_BASE!$D67</f>
        <v>202</v>
      </c>
      <c r="BB67">
        <f>IF(ANALYTICS_BASE!$M67="NO",ANALYTICS_BASE!$G67,NA())</f>
        <v>3.61</v>
      </c>
      <c r="BC67" t="e">
        <f>IF(ANALYTICS_BASE!$M67="SÍ",ANALYTICS_BASE!$G67,NA())</f>
        <v>#N/A</v>
      </c>
    </row>
    <row r="68" spans="1:55" ht="24.5" x14ac:dyDescent="0.35">
      <c r="A68" s="113" t="str">
        <f>ANALYTICS_BASE!$P24</f>
        <v>5. RACK SIMPLE</v>
      </c>
      <c r="B68" s="114"/>
      <c r="C68" s="114"/>
      <c r="D68" s="117">
        <f>ANALYTICS_BASE!$S24</f>
        <v>5.63</v>
      </c>
      <c r="E68" s="115">
        <f>ANALYTICS_BASE!$X24</f>
        <v>6</v>
      </c>
      <c r="F68" s="115">
        <f>ANALYTICS_BASE!$Y24</f>
        <v>6</v>
      </c>
      <c r="G68" s="115">
        <f>ANALYTICS_BASE!$Z24</f>
        <v>3</v>
      </c>
      <c r="H68" s="116">
        <f t="shared" si="1"/>
        <v>0.4</v>
      </c>
      <c r="I68" s="128" t="str">
        <f t="shared" si="2"/>
        <v>Clase A en zona lejana</v>
      </c>
      <c r="K68" s="107"/>
      <c r="L68" s="107"/>
      <c r="M68" s="107"/>
      <c r="N68" s="107"/>
      <c r="O68" s="107"/>
      <c r="P68" s="107"/>
      <c r="Q68" s="107"/>
      <c r="R68" s="107"/>
      <c r="BA68">
        <f>ANALYTICS_BASE!$D68</f>
        <v>286</v>
      </c>
      <c r="BB68">
        <f>IF(ANALYTICS_BASE!$M68="NO",ANALYTICS_BASE!$G68,NA())</f>
        <v>3.61</v>
      </c>
      <c r="BC68" t="e">
        <f>IF(ANALYTICS_BASE!$M68="SÍ",ANALYTICS_BASE!$G68,NA())</f>
        <v>#N/A</v>
      </c>
    </row>
    <row r="69" spans="1:55" x14ac:dyDescent="0.35">
      <c r="A69" s="113" t="str">
        <f>ANALYTICS_BASE!$P25</f>
        <v>6. RACK COLGANTES</v>
      </c>
      <c r="B69" s="114"/>
      <c r="C69" s="114"/>
      <c r="D69" s="117">
        <f>ANALYTICS_BASE!$S25</f>
        <v>3.61</v>
      </c>
      <c r="E69" s="115">
        <f>ANALYTICS_BASE!$X25</f>
        <v>2</v>
      </c>
      <c r="F69" s="115">
        <f>ANALYTICS_BASE!$Y25</f>
        <v>2</v>
      </c>
      <c r="G69" s="115">
        <f>ANALYTICS_BASE!$Z25</f>
        <v>2</v>
      </c>
      <c r="H69" s="116">
        <f t="shared" si="1"/>
        <v>0.33333333333333331</v>
      </c>
      <c r="I69" s="128" t="str">
        <f t="shared" si="2"/>
        <v>Alineado</v>
      </c>
      <c r="K69" s="107"/>
      <c r="L69" s="107"/>
      <c r="M69" s="107"/>
      <c r="N69" s="107"/>
      <c r="O69" s="107"/>
      <c r="P69" s="107"/>
      <c r="Q69" s="107"/>
      <c r="R69" s="107"/>
      <c r="BA69">
        <f>ANALYTICS_BASE!$D69</f>
        <v>281</v>
      </c>
      <c r="BB69">
        <f>IF(ANALYTICS_BASE!$M69="NO",ANALYTICS_BASE!$G69,NA())</f>
        <v>8.0399999999999991</v>
      </c>
      <c r="BC69" t="e">
        <f>IF(ANALYTICS_BASE!$M69="SÍ",ANALYTICS_BASE!$G69,NA())</f>
        <v>#N/A</v>
      </c>
    </row>
    <row r="70" spans="1:55" ht="24.5" x14ac:dyDescent="0.35">
      <c r="A70" s="113" t="str">
        <f>ANALYTICS_BASE!$P26</f>
        <v>1. LLANTAS</v>
      </c>
      <c r="B70" s="114"/>
      <c r="C70" s="114"/>
      <c r="D70" s="117">
        <f>ANALYTICS_BASE!$S26</f>
        <v>8.0399999999999991</v>
      </c>
      <c r="E70" s="115">
        <f>ANALYTICS_BASE!$X26</f>
        <v>3</v>
      </c>
      <c r="F70" s="115">
        <f>ANALYTICS_BASE!$Y26</f>
        <v>9</v>
      </c>
      <c r="G70" s="115">
        <f>ANALYTICS_BASE!$Z26</f>
        <v>3</v>
      </c>
      <c r="H70" s="116">
        <f t="shared" si="1"/>
        <v>0.2</v>
      </c>
      <c r="I70" s="128" t="str">
        <f t="shared" si="2"/>
        <v>Clase A en zona lejana</v>
      </c>
      <c r="K70" s="105" t="s">
        <v>388</v>
      </c>
      <c r="L70" s="105"/>
      <c r="M70" s="105"/>
      <c r="N70" s="105"/>
      <c r="O70" s="105"/>
      <c r="P70" s="105"/>
      <c r="Q70" s="105"/>
      <c r="R70" s="105"/>
      <c r="BA70">
        <f>ANALYTICS_BASE!$D70</f>
        <v>417</v>
      </c>
      <c r="BB70" t="e">
        <f>IF(ANALYTICS_BASE!$M70="NO",ANALYTICS_BASE!$G70,NA())</f>
        <v>#N/A</v>
      </c>
      <c r="BC70">
        <f>IF(ANALYTICS_BASE!$M70="SÍ",ANALYTICS_BASE!$G70,NA())</f>
        <v>5.63</v>
      </c>
    </row>
    <row r="71" spans="1:55" ht="24.5" x14ac:dyDescent="0.35">
      <c r="A71" s="113" t="str">
        <f>ANALYTICS_BASE!$P27</f>
        <v>7. MEZANNINE</v>
      </c>
      <c r="B71" s="114"/>
      <c r="C71" s="114"/>
      <c r="D71" s="117">
        <f>ANALYTICS_BASE!$S27</f>
        <v>6.42</v>
      </c>
      <c r="E71" s="115">
        <f>ANALYTICS_BASE!$X27</f>
        <v>4</v>
      </c>
      <c r="F71" s="115">
        <f>ANALYTICS_BASE!$Y27</f>
        <v>5</v>
      </c>
      <c r="G71" s="115">
        <f>ANALYTICS_BASE!$Z27</f>
        <v>1</v>
      </c>
      <c r="H71" s="116">
        <f t="shared" si="1"/>
        <v>0.4</v>
      </c>
      <c r="I71" s="128" t="str">
        <f t="shared" si="2"/>
        <v>Clase A en zona lejana</v>
      </c>
      <c r="K71" s="108" t="s">
        <v>412</v>
      </c>
      <c r="L71" s="108"/>
      <c r="M71" s="108"/>
      <c r="N71" s="108"/>
      <c r="O71" s="108"/>
      <c r="P71" s="108"/>
      <c r="Q71" s="108"/>
      <c r="R71" s="108"/>
      <c r="BA71">
        <f>ANALYTICS_BASE!$D71</f>
        <v>326</v>
      </c>
      <c r="BB71">
        <f>IF(ANALYTICS_BASE!$M71="NO",ANALYTICS_BASE!$G71,NA())</f>
        <v>8.0399999999999991</v>
      </c>
      <c r="BC71" t="e">
        <f>IF(ANALYTICS_BASE!$M71="SÍ",ANALYTICS_BASE!$G71,NA())</f>
        <v>#N/A</v>
      </c>
    </row>
    <row r="72" spans="1:55" x14ac:dyDescent="0.35">
      <c r="A72" s="119" t="str">
        <f>ANALYTICS_BASE!$P28</f>
        <v>14. LATERALES</v>
      </c>
      <c r="B72" s="120"/>
      <c r="C72" s="120"/>
      <c r="D72" s="123">
        <f>ANALYTICS_BASE!$S28</f>
        <v>5.63</v>
      </c>
      <c r="E72" s="121">
        <f>ANALYTICS_BASE!$X28</f>
        <v>0</v>
      </c>
      <c r="F72" s="121">
        <f>ANALYTICS_BASE!$Y28</f>
        <v>0</v>
      </c>
      <c r="G72" s="121">
        <f>ANALYTICS_BASE!$Z28</f>
        <v>0</v>
      </c>
      <c r="H72" s="122">
        <f t="shared" si="1"/>
        <v>0</v>
      </c>
      <c r="I72" s="129" t="str">
        <f t="shared" si="2"/>
        <v>Zona ociosa</v>
      </c>
      <c r="K72" s="108"/>
      <c r="L72" s="108"/>
      <c r="M72" s="108"/>
      <c r="N72" s="108"/>
      <c r="O72" s="108"/>
      <c r="P72" s="108"/>
      <c r="Q72" s="108"/>
      <c r="R72" s="108"/>
      <c r="BA72">
        <f>ANALYTICS_BASE!$D72</f>
        <v>415</v>
      </c>
      <c r="BB72" t="e">
        <f>IF(ANALYTICS_BASE!$M72="NO",ANALYTICS_BASE!$G72,NA())</f>
        <v>#N/A</v>
      </c>
      <c r="BC72">
        <f>IF(ANALYTICS_BASE!$M72="SÍ",ANALYTICS_BASE!$G72,NA())</f>
        <v>6.42</v>
      </c>
    </row>
    <row r="73" spans="1:55" x14ac:dyDescent="0.35">
      <c r="K73" s="108"/>
      <c r="L73" s="108"/>
      <c r="M73" s="108"/>
      <c r="N73" s="108"/>
      <c r="O73" s="108"/>
      <c r="P73" s="108"/>
      <c r="Q73" s="108"/>
      <c r="R73" s="108"/>
      <c r="BA73">
        <f>ANALYTICS_BASE!$D73</f>
        <v>479</v>
      </c>
      <c r="BB73">
        <f>IF(ANALYTICS_BASE!$M73="NO",ANALYTICS_BASE!$G73,NA())</f>
        <v>2.0099999999999998</v>
      </c>
      <c r="BC73" t="e">
        <f>IF(ANALYTICS_BASE!$M73="SÍ",ANALYTICS_BASE!$G73,NA())</f>
        <v>#N/A</v>
      </c>
    </row>
    <row r="74" spans="1:55" x14ac:dyDescent="0.35">
      <c r="BA74">
        <f>ANALYTICS_BASE!$D74</f>
        <v>117</v>
      </c>
      <c r="BB74">
        <f>IF(ANALYTICS_BASE!$M74="NO",ANALYTICS_BASE!$G74,NA())</f>
        <v>4.82</v>
      </c>
      <c r="BC74" t="e">
        <f>IF(ANALYTICS_BASE!$M74="SÍ",ANALYTICS_BASE!$G74,NA())</f>
        <v>#N/A</v>
      </c>
    </row>
    <row r="75" spans="1:55" ht="26" customHeight="1" x14ac:dyDescent="0.35">
      <c r="A75" s="102" t="s">
        <v>413</v>
      </c>
      <c r="B75" s="101"/>
      <c r="C75" s="101"/>
      <c r="D75" s="101"/>
      <c r="E75" s="101"/>
      <c r="F75" s="101"/>
      <c r="G75" s="101"/>
      <c r="H75" s="101"/>
      <c r="I75" s="101"/>
      <c r="J75" s="101"/>
      <c r="K75" s="101"/>
      <c r="L75" s="101"/>
      <c r="M75" s="101"/>
      <c r="N75" s="101"/>
      <c r="O75" s="101"/>
      <c r="P75" s="101"/>
      <c r="Q75" s="101"/>
      <c r="R75" s="101"/>
      <c r="BA75">
        <f>ANALYTICS_BASE!$D75</f>
        <v>85</v>
      </c>
      <c r="BB75">
        <f>IF(ANALYTICS_BASE!$M75="NO",ANALYTICS_BASE!$G75,NA())</f>
        <v>4.82</v>
      </c>
      <c r="BC75" t="e">
        <f>IF(ANALYTICS_BASE!$M75="SÍ",ANALYTICS_BASE!$G75,NA())</f>
        <v>#N/A</v>
      </c>
    </row>
    <row r="76" spans="1:55" x14ac:dyDescent="0.35">
      <c r="K76" s="103" t="s">
        <v>384</v>
      </c>
      <c r="L76" s="103"/>
      <c r="M76" s="103"/>
      <c r="N76" s="103"/>
      <c r="O76" s="103"/>
      <c r="P76" s="103"/>
      <c r="Q76" s="103"/>
      <c r="R76" s="103"/>
      <c r="BA76">
        <f>ANALYTICS_BASE!$D76</f>
        <v>122</v>
      </c>
      <c r="BB76">
        <f>IF(ANALYTICS_BASE!$M76="NO",ANALYTICS_BASE!$G76,NA())</f>
        <v>8.0399999999999991</v>
      </c>
      <c r="BC76" t="e">
        <f>IF(ANALYTICS_BASE!$M76="SÍ",ANALYTICS_BASE!$G76,NA())</f>
        <v>#N/A</v>
      </c>
    </row>
    <row r="77" spans="1:55" x14ac:dyDescent="0.35">
      <c r="K77" s="106" t="s">
        <v>414</v>
      </c>
      <c r="L77" s="106"/>
      <c r="M77" s="106"/>
      <c r="N77" s="106"/>
      <c r="O77" s="106"/>
      <c r="P77" s="106"/>
      <c r="Q77" s="106"/>
      <c r="R77" s="106"/>
      <c r="BA77">
        <f>ANALYTICS_BASE!$D77</f>
        <v>141</v>
      </c>
      <c r="BB77">
        <f>IF(ANALYTICS_BASE!$M77="NO",ANALYTICS_BASE!$G77,NA())</f>
        <v>1.6</v>
      </c>
      <c r="BC77" t="e">
        <f>IF(ANALYTICS_BASE!$M77="SÍ",ANALYTICS_BASE!$G77,NA())</f>
        <v>#N/A</v>
      </c>
    </row>
    <row r="78" spans="1:55" x14ac:dyDescent="0.35">
      <c r="K78" s="106"/>
      <c r="L78" s="106"/>
      <c r="M78" s="106"/>
      <c r="N78" s="106"/>
      <c r="O78" s="106"/>
      <c r="P78" s="106"/>
      <c r="Q78" s="106"/>
      <c r="R78" s="106"/>
      <c r="BA78">
        <f>ANALYTICS_BASE!$D78</f>
        <v>299</v>
      </c>
      <c r="BB78">
        <f>IF(ANALYTICS_BASE!$M78="NO",ANALYTICS_BASE!$G78,NA())</f>
        <v>8.0399999999999991</v>
      </c>
      <c r="BC78" t="e">
        <f>IF(ANALYTICS_BASE!$M78="SÍ",ANALYTICS_BASE!$G78,NA())</f>
        <v>#N/A</v>
      </c>
    </row>
    <row r="79" spans="1:55" x14ac:dyDescent="0.35">
      <c r="K79" s="106"/>
      <c r="L79" s="106"/>
      <c r="M79" s="106"/>
      <c r="N79" s="106"/>
      <c r="O79" s="106"/>
      <c r="P79" s="106"/>
      <c r="Q79" s="106"/>
      <c r="R79" s="106"/>
      <c r="BA79">
        <f>ANALYTICS_BASE!$D79</f>
        <v>359</v>
      </c>
      <c r="BB79" t="e">
        <f>IF(ANALYTICS_BASE!$M79="NO",ANALYTICS_BASE!$G79,NA())</f>
        <v>#N/A</v>
      </c>
      <c r="BC79">
        <f>IF(ANALYTICS_BASE!$M79="SÍ",ANALYTICS_BASE!$G79,NA())</f>
        <v>6.42</v>
      </c>
    </row>
    <row r="80" spans="1:55" x14ac:dyDescent="0.35">
      <c r="K80" s="104" t="s">
        <v>386</v>
      </c>
      <c r="L80" s="104"/>
      <c r="M80" s="104"/>
      <c r="N80" s="104"/>
      <c r="O80" s="104"/>
      <c r="P80" s="104"/>
      <c r="Q80" s="104"/>
      <c r="R80" s="104"/>
      <c r="BA80">
        <f>ANALYTICS_BASE!$D80</f>
        <v>202</v>
      </c>
      <c r="BB80">
        <f>IF(ANALYTICS_BASE!$M80="NO",ANALYTICS_BASE!$G80,NA())</f>
        <v>4.01</v>
      </c>
      <c r="BC80" t="e">
        <f>IF(ANALYTICS_BASE!$M80="SÍ",ANALYTICS_BASE!$G80,NA())</f>
        <v>#N/A</v>
      </c>
    </row>
    <row r="81" spans="1:55" x14ac:dyDescent="0.35">
      <c r="K81" s="107" t="s">
        <v>415</v>
      </c>
      <c r="L81" s="107"/>
      <c r="M81" s="107"/>
      <c r="N81" s="107"/>
      <c r="O81" s="107"/>
      <c r="P81" s="107"/>
      <c r="Q81" s="107"/>
      <c r="R81" s="107"/>
      <c r="BA81">
        <f>ANALYTICS_BASE!$D81</f>
        <v>103</v>
      </c>
      <c r="BB81">
        <f>IF(ANALYTICS_BASE!$M81="NO",ANALYTICS_BASE!$G81,NA())</f>
        <v>4.82</v>
      </c>
      <c r="BC81" t="e">
        <f>IF(ANALYTICS_BASE!$M81="SÍ",ANALYTICS_BASE!$G81,NA())</f>
        <v>#N/A</v>
      </c>
    </row>
    <row r="82" spans="1:55" x14ac:dyDescent="0.35">
      <c r="K82" s="107"/>
      <c r="L82" s="107"/>
      <c r="M82" s="107"/>
      <c r="N82" s="107"/>
      <c r="O82" s="107"/>
      <c r="P82" s="107"/>
      <c r="Q82" s="107"/>
      <c r="R82" s="107"/>
      <c r="BA82">
        <f>ANALYTICS_BASE!$D82</f>
        <v>485</v>
      </c>
      <c r="BB82" t="e">
        <f>IF(ANALYTICS_BASE!$M82="NO",ANALYTICS_BASE!$G82,NA())</f>
        <v>#N/A</v>
      </c>
      <c r="BC82">
        <f>IF(ANALYTICS_BASE!$M82="SÍ",ANALYTICS_BASE!$G82,NA())</f>
        <v>8.0399999999999991</v>
      </c>
    </row>
    <row r="83" spans="1:55" x14ac:dyDescent="0.35">
      <c r="K83" s="107"/>
      <c r="L83" s="107"/>
      <c r="M83" s="107"/>
      <c r="N83" s="107"/>
      <c r="O83" s="107"/>
      <c r="P83" s="107"/>
      <c r="Q83" s="107"/>
      <c r="R83" s="107"/>
      <c r="BA83">
        <f>ANALYTICS_BASE!$D83</f>
        <v>173</v>
      </c>
      <c r="BB83">
        <f>IF(ANALYTICS_BASE!$M83="NO",ANALYTICS_BASE!$G83,NA())</f>
        <v>4.82</v>
      </c>
      <c r="BC83" t="e">
        <f>IF(ANALYTICS_BASE!$M83="SÍ",ANALYTICS_BASE!$G83,NA())</f>
        <v>#N/A</v>
      </c>
    </row>
    <row r="84" spans="1:55" x14ac:dyDescent="0.35">
      <c r="K84" s="105" t="s">
        <v>388</v>
      </c>
      <c r="L84" s="105"/>
      <c r="M84" s="105"/>
      <c r="N84" s="105"/>
      <c r="O84" s="105"/>
      <c r="P84" s="105"/>
      <c r="Q84" s="105"/>
      <c r="R84" s="105"/>
      <c r="BA84">
        <f>ANALYTICS_BASE!$D84</f>
        <v>127</v>
      </c>
      <c r="BB84">
        <f>IF(ANALYTICS_BASE!$M84="NO",ANALYTICS_BASE!$G84,NA())</f>
        <v>1.6</v>
      </c>
      <c r="BC84" t="e">
        <f>IF(ANALYTICS_BASE!$M84="SÍ",ANALYTICS_BASE!$G84,NA())</f>
        <v>#N/A</v>
      </c>
    </row>
    <row r="85" spans="1:55" x14ac:dyDescent="0.35">
      <c r="K85" s="108" t="s">
        <v>416</v>
      </c>
      <c r="L85" s="108"/>
      <c r="M85" s="108"/>
      <c r="N85" s="108"/>
      <c r="O85" s="108"/>
      <c r="P85" s="108"/>
      <c r="Q85" s="108"/>
      <c r="R85" s="108"/>
      <c r="BA85">
        <f>ANALYTICS_BASE!$D85</f>
        <v>395</v>
      </c>
      <c r="BB85" t="e">
        <f>IF(ANALYTICS_BASE!$M85="NO",ANALYTICS_BASE!$G85,NA())</f>
        <v>#N/A</v>
      </c>
      <c r="BC85">
        <f>IF(ANALYTICS_BASE!$M85="SÍ",ANALYTICS_BASE!$G85,NA())</f>
        <v>4.01</v>
      </c>
    </row>
    <row r="86" spans="1:55" x14ac:dyDescent="0.35">
      <c r="K86" s="108"/>
      <c r="L86" s="108"/>
      <c r="M86" s="108"/>
      <c r="N86" s="108"/>
      <c r="O86" s="108"/>
      <c r="P86" s="108"/>
      <c r="Q86" s="108"/>
      <c r="R86" s="108"/>
      <c r="BA86">
        <f>ANALYTICS_BASE!$D86</f>
        <v>382</v>
      </c>
      <c r="BB86" t="e">
        <f>IF(ANALYTICS_BASE!$M86="NO",ANALYTICS_BASE!$G86,NA())</f>
        <v>#N/A</v>
      </c>
      <c r="BC86">
        <f>IF(ANALYTICS_BASE!$M86="SÍ",ANALYTICS_BASE!$G86,NA())</f>
        <v>4.82</v>
      </c>
    </row>
    <row r="87" spans="1:55" x14ac:dyDescent="0.35">
      <c r="K87" s="108"/>
      <c r="L87" s="108"/>
      <c r="M87" s="108"/>
      <c r="N87" s="108"/>
      <c r="O87" s="108"/>
      <c r="P87" s="108"/>
      <c r="Q87" s="108"/>
      <c r="R87" s="108"/>
      <c r="BA87">
        <f>ANALYTICS_BASE!$D87</f>
        <v>408</v>
      </c>
      <c r="BB87" t="e">
        <f>IF(ANALYTICS_BASE!$M87="NO",ANALYTICS_BASE!$G87,NA())</f>
        <v>#N/A</v>
      </c>
      <c r="BC87">
        <f>IF(ANALYTICS_BASE!$M87="SÍ",ANALYTICS_BASE!$G87,NA())</f>
        <v>8.0399999999999991</v>
      </c>
    </row>
    <row r="88" spans="1:55" x14ac:dyDescent="0.35">
      <c r="BA88">
        <f>ANALYTICS_BASE!$D88</f>
        <v>438</v>
      </c>
      <c r="BB88" t="e">
        <f>IF(ANALYTICS_BASE!$M88="NO",ANALYTICS_BASE!$G88,NA())</f>
        <v>#N/A</v>
      </c>
      <c r="BC88">
        <f>IF(ANALYTICS_BASE!$M88="SÍ",ANALYTICS_BASE!$G88,NA())</f>
        <v>6.42</v>
      </c>
    </row>
    <row r="89" spans="1:55" ht="26" customHeight="1" x14ac:dyDescent="0.35">
      <c r="A89" s="102" t="s">
        <v>419</v>
      </c>
      <c r="B89" s="101"/>
      <c r="C89" s="101"/>
      <c r="D89" s="101"/>
      <c r="E89" s="101"/>
      <c r="F89" s="101"/>
      <c r="G89" s="101"/>
      <c r="H89" s="101"/>
      <c r="I89" s="101"/>
      <c r="J89" s="101"/>
      <c r="K89" s="101"/>
      <c r="L89" s="101"/>
      <c r="M89" s="101"/>
      <c r="N89" s="101"/>
      <c r="O89" s="101"/>
      <c r="P89" s="101"/>
      <c r="Q89" s="101"/>
      <c r="R89" s="101"/>
      <c r="BA89">
        <f>ANALYTICS_BASE!$D89</f>
        <v>496</v>
      </c>
      <c r="BB89">
        <f>IF(ANALYTICS_BASE!$M89="NO",ANALYTICS_BASE!$G89,NA())</f>
        <v>2.0099999999999998</v>
      </c>
      <c r="BC89" t="e">
        <f>IF(ANALYTICS_BASE!$M89="SÍ",ANALYTICS_BASE!$G89,NA())</f>
        <v>#N/A</v>
      </c>
    </row>
    <row r="90" spans="1:55" x14ac:dyDescent="0.35">
      <c r="K90" s="103" t="s">
        <v>384</v>
      </c>
      <c r="L90" s="103"/>
      <c r="M90" s="103"/>
      <c r="N90" s="103"/>
      <c r="O90" s="103"/>
      <c r="P90" s="103"/>
      <c r="Q90" s="103"/>
      <c r="R90" s="103"/>
      <c r="BA90">
        <f>ANALYTICS_BASE!$D90</f>
        <v>361</v>
      </c>
      <c r="BB90" t="e">
        <f>IF(ANALYTICS_BASE!$M90="NO",ANALYTICS_BASE!$G90,NA())</f>
        <v>#N/A</v>
      </c>
      <c r="BC90">
        <f>IF(ANALYTICS_BASE!$M90="SÍ",ANALYTICS_BASE!$G90,NA())</f>
        <v>8.0399999999999991</v>
      </c>
    </row>
    <row r="91" spans="1:55" x14ac:dyDescent="0.35">
      <c r="K91" s="106" t="s">
        <v>420</v>
      </c>
      <c r="L91" s="106"/>
      <c r="M91" s="106"/>
      <c r="N91" s="106"/>
      <c r="O91" s="106"/>
      <c r="P91" s="106"/>
      <c r="Q91" s="106"/>
      <c r="R91" s="106"/>
      <c r="BA91">
        <f>ANALYTICS_BASE!$D91</f>
        <v>277</v>
      </c>
      <c r="BB91">
        <f>IF(ANALYTICS_BASE!$M91="NO",ANALYTICS_BASE!$G91,NA())</f>
        <v>4.82</v>
      </c>
      <c r="BC91" t="e">
        <f>IF(ANALYTICS_BASE!$M91="SÍ",ANALYTICS_BASE!$G91,NA())</f>
        <v>#N/A</v>
      </c>
    </row>
    <row r="92" spans="1:55" x14ac:dyDescent="0.35">
      <c r="K92" s="106"/>
      <c r="L92" s="106"/>
      <c r="M92" s="106"/>
      <c r="N92" s="106"/>
      <c r="O92" s="106"/>
      <c r="P92" s="106"/>
      <c r="Q92" s="106"/>
      <c r="R92" s="106"/>
      <c r="BA92">
        <f>ANALYTICS_BASE!$D92</f>
        <v>199</v>
      </c>
      <c r="BB92">
        <f>IF(ANALYTICS_BASE!$M92="NO",ANALYTICS_BASE!$G92,NA())</f>
        <v>5.63</v>
      </c>
      <c r="BC92" t="e">
        <f>IF(ANALYTICS_BASE!$M92="SÍ",ANALYTICS_BASE!$G92,NA())</f>
        <v>#N/A</v>
      </c>
    </row>
    <row r="93" spans="1:55" x14ac:dyDescent="0.35">
      <c r="K93" s="106"/>
      <c r="L93" s="106"/>
      <c r="M93" s="106"/>
      <c r="N93" s="106"/>
      <c r="O93" s="106"/>
      <c r="P93" s="106"/>
      <c r="Q93" s="106"/>
      <c r="R93" s="106"/>
      <c r="BA93">
        <f>ANALYTICS_BASE!$D93</f>
        <v>342</v>
      </c>
      <c r="BB93">
        <f>IF(ANALYTICS_BASE!$M93="NO",ANALYTICS_BASE!$G93,NA())</f>
        <v>4.01</v>
      </c>
      <c r="BC93" t="e">
        <f>IF(ANALYTICS_BASE!$M93="SÍ",ANALYTICS_BASE!$G93,NA())</f>
        <v>#N/A</v>
      </c>
    </row>
    <row r="94" spans="1:55" x14ac:dyDescent="0.35">
      <c r="K94" s="104" t="s">
        <v>386</v>
      </c>
      <c r="L94" s="104"/>
      <c r="M94" s="104"/>
      <c r="N94" s="104"/>
      <c r="O94" s="104"/>
      <c r="P94" s="104"/>
      <c r="Q94" s="104"/>
      <c r="R94" s="104"/>
      <c r="BA94">
        <f>ANALYTICS_BASE!$D94</f>
        <v>246</v>
      </c>
      <c r="BB94">
        <f>IF(ANALYTICS_BASE!$M94="NO",ANALYTICS_BASE!$G94,NA())</f>
        <v>5.63</v>
      </c>
      <c r="BC94" t="e">
        <f>IF(ANALYTICS_BASE!$M94="SÍ",ANALYTICS_BASE!$G94,NA())</f>
        <v>#N/A</v>
      </c>
    </row>
    <row r="95" spans="1:55" x14ac:dyDescent="0.35">
      <c r="K95" s="107" t="s">
        <v>421</v>
      </c>
      <c r="L95" s="107"/>
      <c r="M95" s="107"/>
      <c r="N95" s="107"/>
      <c r="O95" s="107"/>
      <c r="P95" s="107"/>
      <c r="Q95" s="107"/>
      <c r="R95" s="107"/>
      <c r="BA95">
        <f>ANALYTICS_BASE!$D95</f>
        <v>335</v>
      </c>
      <c r="BB95">
        <f>IF(ANALYTICS_BASE!$M95="NO",ANALYTICS_BASE!$G95,NA())</f>
        <v>2.0099999999999998</v>
      </c>
      <c r="BC95" t="e">
        <f>IF(ANALYTICS_BASE!$M95="SÍ",ANALYTICS_BASE!$G95,NA())</f>
        <v>#N/A</v>
      </c>
    </row>
    <row r="96" spans="1:55" x14ac:dyDescent="0.35">
      <c r="K96" s="107"/>
      <c r="L96" s="107"/>
      <c r="M96" s="107"/>
      <c r="N96" s="107"/>
      <c r="O96" s="107"/>
      <c r="P96" s="107"/>
      <c r="Q96" s="107"/>
      <c r="R96" s="107"/>
      <c r="BA96">
        <f>ANALYTICS_BASE!$D96</f>
        <v>394</v>
      </c>
      <c r="BB96" t="e">
        <f>IF(ANALYTICS_BASE!$M96="NO",ANALYTICS_BASE!$G96,NA())</f>
        <v>#N/A</v>
      </c>
      <c r="BC96">
        <f>IF(ANALYTICS_BASE!$M96="SÍ",ANALYTICS_BASE!$G96,NA())</f>
        <v>4.01</v>
      </c>
    </row>
    <row r="97" spans="1:55" x14ac:dyDescent="0.35">
      <c r="K97" s="107"/>
      <c r="L97" s="107"/>
      <c r="M97" s="107"/>
      <c r="N97" s="107"/>
      <c r="O97" s="107"/>
      <c r="P97" s="107"/>
      <c r="Q97" s="107"/>
      <c r="R97" s="107"/>
      <c r="BA97">
        <f>ANALYTICS_BASE!$D97</f>
        <v>111</v>
      </c>
      <c r="BB97">
        <f>IF(ANALYTICS_BASE!$M97="NO",ANALYTICS_BASE!$G97,NA())</f>
        <v>8.0399999999999991</v>
      </c>
      <c r="BC97" t="e">
        <f>IF(ANALYTICS_BASE!$M97="SÍ",ANALYTICS_BASE!$G97,NA())</f>
        <v>#N/A</v>
      </c>
    </row>
    <row r="98" spans="1:55" x14ac:dyDescent="0.35">
      <c r="K98" s="105" t="s">
        <v>388</v>
      </c>
      <c r="L98" s="105"/>
      <c r="M98" s="105"/>
      <c r="N98" s="105"/>
      <c r="O98" s="105"/>
      <c r="P98" s="105"/>
      <c r="Q98" s="105"/>
      <c r="R98" s="105"/>
      <c r="BA98">
        <f>ANALYTICS_BASE!$D98</f>
        <v>209</v>
      </c>
      <c r="BB98">
        <f>IF(ANALYTICS_BASE!$M98="NO",ANALYTICS_BASE!$G98,NA())</f>
        <v>8.0399999999999991</v>
      </c>
      <c r="BC98" t="e">
        <f>IF(ANALYTICS_BASE!$M98="SÍ",ANALYTICS_BASE!$G98,NA())</f>
        <v>#N/A</v>
      </c>
    </row>
    <row r="99" spans="1:55" x14ac:dyDescent="0.35">
      <c r="K99" s="108" t="s">
        <v>422</v>
      </c>
      <c r="L99" s="108"/>
      <c r="M99" s="108"/>
      <c r="N99" s="108"/>
      <c r="O99" s="108"/>
      <c r="P99" s="108"/>
      <c r="Q99" s="108"/>
      <c r="R99" s="108"/>
      <c r="BA99">
        <f>ANALYTICS_BASE!$D99</f>
        <v>402</v>
      </c>
      <c r="BB99" t="e">
        <f>IF(ANALYTICS_BASE!$M99="NO",ANALYTICS_BASE!$G99,NA())</f>
        <v>#N/A</v>
      </c>
      <c r="BC99">
        <f>IF(ANALYTICS_BASE!$M99="SÍ",ANALYTICS_BASE!$G99,NA())</f>
        <v>4.82</v>
      </c>
    </row>
    <row r="100" spans="1:55" x14ac:dyDescent="0.35">
      <c r="K100" s="108"/>
      <c r="L100" s="108"/>
      <c r="M100" s="108"/>
      <c r="N100" s="108"/>
      <c r="O100" s="108"/>
      <c r="P100" s="108"/>
      <c r="Q100" s="108"/>
      <c r="R100" s="108"/>
      <c r="BA100">
        <f>ANALYTICS_BASE!$D100</f>
        <v>211</v>
      </c>
      <c r="BB100">
        <f>IF(ANALYTICS_BASE!$M100="NO",ANALYTICS_BASE!$G100,NA())</f>
        <v>5.63</v>
      </c>
      <c r="BC100" t="e">
        <f>IF(ANALYTICS_BASE!$M100="SÍ",ANALYTICS_BASE!$G100,NA())</f>
        <v>#N/A</v>
      </c>
    </row>
    <row r="101" spans="1:55" x14ac:dyDescent="0.35">
      <c r="K101" s="108"/>
      <c r="L101" s="108"/>
      <c r="M101" s="108"/>
      <c r="N101" s="108"/>
      <c r="O101" s="108"/>
      <c r="P101" s="108"/>
      <c r="Q101" s="108"/>
      <c r="R101" s="108"/>
      <c r="BA101">
        <f>ANALYTICS_BASE!$D101</f>
        <v>263</v>
      </c>
      <c r="BB101">
        <f>IF(ANALYTICS_BASE!$M101="NO",ANALYTICS_BASE!$G101,NA())</f>
        <v>8.0399999999999991</v>
      </c>
      <c r="BC101" t="e">
        <f>IF(ANALYTICS_BASE!$M101="SÍ",ANALYTICS_BASE!$G101,NA())</f>
        <v>#N/A</v>
      </c>
    </row>
    <row r="102" spans="1:55" x14ac:dyDescent="0.35">
      <c r="BA102">
        <f>ANALYTICS_BASE!$D102</f>
        <v>346</v>
      </c>
      <c r="BB102">
        <f>IF(ANALYTICS_BASE!$M102="NO",ANALYTICS_BASE!$G102,NA())</f>
        <v>8.0399999999999991</v>
      </c>
      <c r="BC102" t="e">
        <f>IF(ANALYTICS_BASE!$M102="SÍ",ANALYTICS_BASE!$G102,NA())</f>
        <v>#N/A</v>
      </c>
    </row>
    <row r="103" spans="1:55" ht="26" customHeight="1" x14ac:dyDescent="0.35">
      <c r="A103" s="102" t="s">
        <v>425</v>
      </c>
      <c r="B103" s="101"/>
      <c r="C103" s="101"/>
      <c r="D103" s="101"/>
      <c r="E103" s="101"/>
      <c r="F103" s="101"/>
      <c r="G103" s="101"/>
      <c r="H103" s="101"/>
      <c r="I103" s="101"/>
      <c r="J103" s="101"/>
      <c r="K103" s="101"/>
      <c r="L103" s="101"/>
      <c r="M103" s="101"/>
      <c r="N103" s="101"/>
      <c r="O103" s="101"/>
      <c r="P103" s="101"/>
      <c r="Q103" s="101"/>
      <c r="R103" s="101"/>
      <c r="BA103">
        <f>ANALYTICS_BASE!$D103</f>
        <v>408</v>
      </c>
      <c r="BB103">
        <f>IF(ANALYTICS_BASE!$M103="NO",ANALYTICS_BASE!$G103,NA())</f>
        <v>1.6</v>
      </c>
      <c r="BC103" t="e">
        <f>IF(ANALYTICS_BASE!$M103="SÍ",ANALYTICS_BASE!$G103,NA())</f>
        <v>#N/A</v>
      </c>
    </row>
    <row r="104" spans="1:55" x14ac:dyDescent="0.35">
      <c r="K104" s="103" t="s">
        <v>384</v>
      </c>
      <c r="L104" s="103"/>
      <c r="M104" s="103"/>
      <c r="N104" s="103"/>
      <c r="O104" s="103"/>
      <c r="P104" s="103"/>
      <c r="Q104" s="103"/>
      <c r="R104" s="103"/>
      <c r="BA104">
        <f>ANALYTICS_BASE!$D104</f>
        <v>460</v>
      </c>
      <c r="BB104">
        <f>IF(ANALYTICS_BASE!$M104="NO",ANALYTICS_BASE!$G104,NA())</f>
        <v>1.6</v>
      </c>
      <c r="BC104" t="e">
        <f>IF(ANALYTICS_BASE!$M104="SÍ",ANALYTICS_BASE!$G104,NA())</f>
        <v>#N/A</v>
      </c>
    </row>
    <row r="105" spans="1:55" x14ac:dyDescent="0.35">
      <c r="K105" s="106" t="s">
        <v>426</v>
      </c>
      <c r="L105" s="106"/>
      <c r="M105" s="106"/>
      <c r="N105" s="106"/>
      <c r="O105" s="106"/>
      <c r="P105" s="106"/>
      <c r="Q105" s="106"/>
      <c r="R105" s="106"/>
    </row>
    <row r="106" spans="1:55" x14ac:dyDescent="0.35">
      <c r="K106" s="106"/>
      <c r="L106" s="106"/>
      <c r="M106" s="106"/>
      <c r="N106" s="106"/>
      <c r="O106" s="106"/>
      <c r="P106" s="106"/>
      <c r="Q106" s="106"/>
      <c r="R106" s="106"/>
    </row>
    <row r="107" spans="1:55" x14ac:dyDescent="0.35">
      <c r="K107" s="106"/>
      <c r="L107" s="106"/>
      <c r="M107" s="106"/>
      <c r="N107" s="106"/>
      <c r="O107" s="106"/>
      <c r="P107" s="106"/>
      <c r="Q107" s="106"/>
      <c r="R107" s="106"/>
    </row>
    <row r="108" spans="1:55" x14ac:dyDescent="0.35">
      <c r="K108" s="104" t="s">
        <v>386</v>
      </c>
      <c r="L108" s="104"/>
      <c r="M108" s="104"/>
      <c r="N108" s="104"/>
      <c r="O108" s="104"/>
      <c r="P108" s="104"/>
      <c r="Q108" s="104"/>
      <c r="R108" s="104"/>
    </row>
    <row r="109" spans="1:55" x14ac:dyDescent="0.35">
      <c r="K109" s="107" t="s">
        <v>427</v>
      </c>
      <c r="L109" s="107"/>
      <c r="M109" s="107"/>
      <c r="N109" s="107"/>
      <c r="O109" s="107"/>
      <c r="P109" s="107"/>
      <c r="Q109" s="107"/>
      <c r="R109" s="107"/>
    </row>
    <row r="110" spans="1:55" x14ac:dyDescent="0.35">
      <c r="K110" s="107"/>
      <c r="L110" s="107"/>
      <c r="M110" s="107"/>
      <c r="N110" s="107"/>
      <c r="O110" s="107"/>
      <c r="P110" s="107"/>
      <c r="Q110" s="107"/>
      <c r="R110" s="107"/>
    </row>
    <row r="111" spans="1:55" x14ac:dyDescent="0.35">
      <c r="K111" s="107"/>
      <c r="L111" s="107"/>
      <c r="M111" s="107"/>
      <c r="N111" s="107"/>
      <c r="O111" s="107"/>
      <c r="P111" s="107"/>
      <c r="Q111" s="107"/>
      <c r="R111" s="107"/>
    </row>
    <row r="112" spans="1:55" x14ac:dyDescent="0.35">
      <c r="K112" s="105" t="s">
        <v>388</v>
      </c>
      <c r="L112" s="105"/>
      <c r="M112" s="105"/>
      <c r="N112" s="105"/>
      <c r="O112" s="105"/>
      <c r="P112" s="105"/>
      <c r="Q112" s="105"/>
      <c r="R112" s="105"/>
    </row>
    <row r="113" spans="1:18" x14ac:dyDescent="0.35">
      <c r="K113" s="108" t="s">
        <v>428</v>
      </c>
      <c r="L113" s="108"/>
      <c r="M113" s="108"/>
      <c r="N113" s="108"/>
      <c r="O113" s="108"/>
      <c r="P113" s="108"/>
      <c r="Q113" s="108"/>
      <c r="R113" s="108"/>
    </row>
    <row r="114" spans="1:18" x14ac:dyDescent="0.35">
      <c r="K114" s="108"/>
      <c r="L114" s="108"/>
      <c r="M114" s="108"/>
      <c r="N114" s="108"/>
      <c r="O114" s="108"/>
      <c r="P114" s="108"/>
      <c r="Q114" s="108"/>
      <c r="R114" s="108"/>
    </row>
    <row r="115" spans="1:18" x14ac:dyDescent="0.35">
      <c r="K115" s="108"/>
      <c r="L115" s="108"/>
      <c r="M115" s="108"/>
      <c r="N115" s="108"/>
      <c r="O115" s="108"/>
      <c r="P115" s="108"/>
      <c r="Q115" s="108"/>
      <c r="R115" s="108"/>
    </row>
    <row r="117" spans="1:18" ht="26" customHeight="1" x14ac:dyDescent="0.35">
      <c r="A117" s="131" t="s">
        <v>431</v>
      </c>
      <c r="B117" s="130"/>
      <c r="C117" s="130"/>
      <c r="D117" s="130"/>
      <c r="E117" s="130"/>
      <c r="F117" s="130"/>
      <c r="G117" s="130"/>
      <c r="H117" s="130"/>
      <c r="I117" s="130"/>
      <c r="J117" s="130"/>
      <c r="K117" s="130"/>
      <c r="L117" s="130"/>
      <c r="M117" s="130"/>
      <c r="N117" s="130"/>
      <c r="O117" s="130"/>
      <c r="P117" s="130"/>
      <c r="Q117" s="130"/>
      <c r="R117" s="130"/>
    </row>
    <row r="118" spans="1:18" x14ac:dyDescent="0.35">
      <c r="A118" s="100" t="s">
        <v>432</v>
      </c>
      <c r="B118" s="100"/>
      <c r="C118" s="100"/>
      <c r="D118" s="100"/>
      <c r="E118" s="100"/>
      <c r="F118" s="100"/>
      <c r="G118" s="100"/>
      <c r="H118" s="100"/>
      <c r="I118" s="100"/>
      <c r="J118" s="100"/>
      <c r="K118" s="100"/>
      <c r="L118" s="100"/>
      <c r="M118" s="100"/>
      <c r="N118" s="100"/>
      <c r="O118" s="100"/>
      <c r="P118" s="100"/>
      <c r="Q118" s="100"/>
      <c r="R118" s="100"/>
    </row>
    <row r="119" spans="1:18" x14ac:dyDescent="0.35">
      <c r="K119" s="103" t="s">
        <v>384</v>
      </c>
      <c r="L119" s="103"/>
      <c r="M119" s="103"/>
      <c r="N119" s="103"/>
      <c r="O119" s="103"/>
      <c r="P119" s="103"/>
      <c r="Q119" s="103"/>
      <c r="R119" s="103"/>
    </row>
    <row r="120" spans="1:18" ht="40" customHeight="1" x14ac:dyDescent="0.35">
      <c r="A120" s="132" t="s">
        <v>17</v>
      </c>
      <c r="B120" s="111" t="s">
        <v>45</v>
      </c>
      <c r="C120" s="111" t="s">
        <v>433</v>
      </c>
      <c r="D120" s="111" t="s">
        <v>305</v>
      </c>
      <c r="E120" s="111" t="s">
        <v>341</v>
      </c>
      <c r="F120" s="111" t="s">
        <v>342</v>
      </c>
      <c r="G120" s="133" t="s">
        <v>343</v>
      </c>
      <c r="H120" s="134" t="s">
        <v>344</v>
      </c>
      <c r="K120" s="106" t="s">
        <v>434</v>
      </c>
      <c r="L120" s="106"/>
      <c r="M120" s="106"/>
      <c r="N120" s="106"/>
      <c r="O120" s="106"/>
      <c r="P120" s="106"/>
      <c r="Q120" s="106"/>
      <c r="R120" s="106"/>
    </row>
    <row r="121" spans="1:18" x14ac:dyDescent="0.35">
      <c r="A121" s="135" t="str">
        <f>ANALYTICS_BASE!$P57</f>
        <v>SKU00009</v>
      </c>
      <c r="B121" s="136" t="str">
        <f>ANALYTICS_BASE!$T57</f>
        <v>Correas</v>
      </c>
      <c r="C121" s="115">
        <f>ANALYTICS_BASE!$Q57</f>
        <v>432</v>
      </c>
      <c r="D121" s="137" t="str">
        <f>ANALYTICS_BASE!$R57</f>
        <v>4. RACK BALDA</v>
      </c>
      <c r="E121" s="117">
        <f>ANALYTICS_BASE!$S57</f>
        <v>4.82</v>
      </c>
      <c r="F121" s="115">
        <f>ANALYTICS_BASE!$U57</f>
        <v>2082.2400000000002</v>
      </c>
      <c r="G121" s="115">
        <f>ANALYTICS_BASE!$V57</f>
        <v>691.2</v>
      </c>
      <c r="H121" s="118">
        <f>ANALYTICS_BASE!$W57</f>
        <v>1391.0400000000002</v>
      </c>
      <c r="K121" s="106"/>
      <c r="L121" s="106"/>
      <c r="M121" s="106"/>
      <c r="N121" s="106"/>
      <c r="O121" s="106"/>
      <c r="P121" s="106"/>
      <c r="Q121" s="106"/>
      <c r="R121" s="106"/>
    </row>
    <row r="122" spans="1:18" x14ac:dyDescent="0.35">
      <c r="A122" s="135" t="str">
        <f>ANALYTICS_BASE!$P58</f>
        <v>SKU00013</v>
      </c>
      <c r="B122" s="136" t="str">
        <f>ANALYTICS_BASE!$T58</f>
        <v>Pastillas</v>
      </c>
      <c r="C122" s="115">
        <f>ANALYTICS_BASE!$Q58</f>
        <v>398</v>
      </c>
      <c r="D122" s="137" t="str">
        <f>ANALYTICS_BASE!$R58</f>
        <v>5. RACK SIMPLE</v>
      </c>
      <c r="E122" s="117">
        <f>ANALYTICS_BASE!$S58</f>
        <v>5.63</v>
      </c>
      <c r="F122" s="115">
        <f>ANALYTICS_BASE!$U58</f>
        <v>2240.7399999999998</v>
      </c>
      <c r="G122" s="115">
        <f>ANALYTICS_BASE!$V58</f>
        <v>636.80000000000007</v>
      </c>
      <c r="H122" s="118">
        <f>ANALYTICS_BASE!$W58</f>
        <v>1603.9399999999996</v>
      </c>
      <c r="K122" s="106"/>
      <c r="L122" s="106"/>
      <c r="M122" s="106"/>
      <c r="N122" s="106"/>
      <c r="O122" s="106"/>
      <c r="P122" s="106"/>
      <c r="Q122" s="106"/>
      <c r="R122" s="106"/>
    </row>
    <row r="123" spans="1:18" x14ac:dyDescent="0.35">
      <c r="A123" s="135" t="str">
        <f>ANALYTICS_BASE!$P59</f>
        <v>SKU00025</v>
      </c>
      <c r="B123" s="136" t="str">
        <f>ANALYTICS_BASE!$T59</f>
        <v>Soportes</v>
      </c>
      <c r="C123" s="115">
        <f>ANALYTICS_BASE!$Q59</f>
        <v>439</v>
      </c>
      <c r="D123" s="137" t="str">
        <f>ANALYTICS_BASE!$R59</f>
        <v>5. RACK SIMPLE</v>
      </c>
      <c r="E123" s="117">
        <f>ANALYTICS_BASE!$S59</f>
        <v>5.63</v>
      </c>
      <c r="F123" s="115">
        <f>ANALYTICS_BASE!$U59</f>
        <v>2471.5700000000002</v>
      </c>
      <c r="G123" s="115">
        <f>ANALYTICS_BASE!$V59</f>
        <v>702.40000000000009</v>
      </c>
      <c r="H123" s="118">
        <f>ANALYTICS_BASE!$W59</f>
        <v>1769.17</v>
      </c>
      <c r="K123" s="106"/>
      <c r="L123" s="106"/>
      <c r="M123" s="106"/>
      <c r="N123" s="106"/>
      <c r="O123" s="106"/>
      <c r="P123" s="106"/>
      <c r="Q123" s="106"/>
      <c r="R123" s="106"/>
    </row>
    <row r="124" spans="1:18" x14ac:dyDescent="0.35">
      <c r="A124" s="135" t="str">
        <f>ANALYTICS_BASE!$P60</f>
        <v>SKU00029</v>
      </c>
      <c r="B124" s="136" t="str">
        <f>ANALYTICS_BASE!$T60</f>
        <v>Correas</v>
      </c>
      <c r="C124" s="115">
        <f>ANALYTICS_BASE!$Q60</f>
        <v>419</v>
      </c>
      <c r="D124" s="137" t="str">
        <f>ANALYTICS_BASE!$R60</f>
        <v>4. RACK BALDA</v>
      </c>
      <c r="E124" s="117">
        <f>ANALYTICS_BASE!$S60</f>
        <v>4.82</v>
      </c>
      <c r="F124" s="115">
        <f>ANALYTICS_BASE!$U60</f>
        <v>2019.5800000000002</v>
      </c>
      <c r="G124" s="115">
        <f>ANALYTICS_BASE!$V60</f>
        <v>670.40000000000009</v>
      </c>
      <c r="H124" s="118">
        <f>ANALYTICS_BASE!$W60</f>
        <v>1349.18</v>
      </c>
      <c r="K124" s="104" t="s">
        <v>386</v>
      </c>
      <c r="L124" s="104"/>
      <c r="M124" s="104"/>
      <c r="N124" s="104"/>
      <c r="O124" s="104"/>
      <c r="P124" s="104"/>
      <c r="Q124" s="104"/>
      <c r="R124" s="104"/>
    </row>
    <row r="125" spans="1:18" x14ac:dyDescent="0.35">
      <c r="A125" s="135" t="str">
        <f>ANALYTICS_BASE!$P61</f>
        <v>SKU00034</v>
      </c>
      <c r="B125" s="136" t="str">
        <f>ANALYTICS_BASE!$T61</f>
        <v>Correas</v>
      </c>
      <c r="C125" s="115">
        <f>ANALYTICS_BASE!$Q61</f>
        <v>431</v>
      </c>
      <c r="D125" s="137" t="str">
        <f>ANALYTICS_BASE!$R61</f>
        <v>7. MEZANNINE</v>
      </c>
      <c r="E125" s="117">
        <f>ANALYTICS_BASE!$S61</f>
        <v>6.42</v>
      </c>
      <c r="F125" s="115">
        <f>ANALYTICS_BASE!$U61</f>
        <v>2767.02</v>
      </c>
      <c r="G125" s="115">
        <f>ANALYTICS_BASE!$V61</f>
        <v>689.6</v>
      </c>
      <c r="H125" s="118">
        <f>ANALYTICS_BASE!$W61</f>
        <v>2077.42</v>
      </c>
      <c r="K125" s="107" t="s">
        <v>435</v>
      </c>
      <c r="L125" s="107"/>
      <c r="M125" s="107"/>
      <c r="N125" s="107"/>
      <c r="O125" s="107"/>
      <c r="P125" s="107"/>
      <c r="Q125" s="107"/>
      <c r="R125" s="107"/>
    </row>
    <row r="126" spans="1:18" x14ac:dyDescent="0.35">
      <c r="A126" s="135" t="str">
        <f>ANALYTICS_BASE!$P62</f>
        <v>SKU00035</v>
      </c>
      <c r="B126" s="136" t="str">
        <f>ANALYTICS_BASE!$T62</f>
        <v>Soportes</v>
      </c>
      <c r="C126" s="115">
        <f>ANALYTICS_BASE!$Q62</f>
        <v>448</v>
      </c>
      <c r="D126" s="137" t="str">
        <f>ANALYTICS_BASE!$R62</f>
        <v>5. RACK SIMPLE</v>
      </c>
      <c r="E126" s="117">
        <f>ANALYTICS_BASE!$S62</f>
        <v>5.63</v>
      </c>
      <c r="F126" s="115">
        <f>ANALYTICS_BASE!$U62</f>
        <v>2522.2399999999998</v>
      </c>
      <c r="G126" s="115">
        <f>ANALYTICS_BASE!$V62</f>
        <v>716.80000000000007</v>
      </c>
      <c r="H126" s="118">
        <f>ANALYTICS_BASE!$W62</f>
        <v>1805.4399999999996</v>
      </c>
      <c r="K126" s="107"/>
      <c r="L126" s="107"/>
      <c r="M126" s="107"/>
      <c r="N126" s="107"/>
      <c r="O126" s="107"/>
      <c r="P126" s="107"/>
      <c r="Q126" s="107"/>
      <c r="R126" s="107"/>
    </row>
    <row r="127" spans="1:18" x14ac:dyDescent="0.35">
      <c r="A127" s="135" t="str">
        <f>ANALYTICS_BASE!$P63</f>
        <v>SKU00044</v>
      </c>
      <c r="B127" s="136" t="str">
        <f>ANALYTICS_BASE!$T63</f>
        <v>Correas</v>
      </c>
      <c r="C127" s="115">
        <f>ANALYTICS_BASE!$Q63</f>
        <v>425</v>
      </c>
      <c r="D127" s="137" t="str">
        <f>ANALYTICS_BASE!$R63</f>
        <v>5. RACK SIMPLE</v>
      </c>
      <c r="E127" s="117">
        <f>ANALYTICS_BASE!$S63</f>
        <v>5.63</v>
      </c>
      <c r="F127" s="115">
        <f>ANALYTICS_BASE!$U63</f>
        <v>2392.75</v>
      </c>
      <c r="G127" s="115">
        <f>ANALYTICS_BASE!$V63</f>
        <v>680</v>
      </c>
      <c r="H127" s="118">
        <f>ANALYTICS_BASE!$W63</f>
        <v>1712.75</v>
      </c>
      <c r="K127" s="107"/>
      <c r="L127" s="107"/>
      <c r="M127" s="107"/>
      <c r="N127" s="107"/>
      <c r="O127" s="107"/>
      <c r="P127" s="107"/>
      <c r="Q127" s="107"/>
      <c r="R127" s="107"/>
    </row>
    <row r="128" spans="1:18" x14ac:dyDescent="0.35">
      <c r="A128" s="135" t="str">
        <f>ANALYTICS_BASE!$P64</f>
        <v>SKU00051</v>
      </c>
      <c r="B128" s="136" t="str">
        <f>ANALYTICS_BASE!$T64</f>
        <v>Filtros</v>
      </c>
      <c r="C128" s="115">
        <f>ANALYTICS_BASE!$Q64</f>
        <v>423</v>
      </c>
      <c r="D128" s="137" t="str">
        <f>ANALYTICS_BASE!$R64</f>
        <v>4. RACK BALDA</v>
      </c>
      <c r="E128" s="117">
        <f>ANALYTICS_BASE!$S64</f>
        <v>4.82</v>
      </c>
      <c r="F128" s="115">
        <f>ANALYTICS_BASE!$U64</f>
        <v>2038.8600000000001</v>
      </c>
      <c r="G128" s="115">
        <f>ANALYTICS_BASE!$V64</f>
        <v>676.80000000000007</v>
      </c>
      <c r="H128" s="118">
        <f>ANALYTICS_BASE!$W64</f>
        <v>1362.06</v>
      </c>
      <c r="K128" s="107"/>
      <c r="L128" s="107"/>
      <c r="M128" s="107"/>
      <c r="N128" s="107"/>
      <c r="O128" s="107"/>
      <c r="P128" s="107"/>
      <c r="Q128" s="107"/>
      <c r="R128" s="107"/>
    </row>
    <row r="129" spans="1:18" x14ac:dyDescent="0.35">
      <c r="A129" s="135" t="str">
        <f>ANALYTICS_BASE!$P65</f>
        <v>SKU00054</v>
      </c>
      <c r="B129" s="136" t="str">
        <f>ANALYTICS_BASE!$T65</f>
        <v>Correas</v>
      </c>
      <c r="C129" s="115">
        <f>ANALYTICS_BASE!$Q65</f>
        <v>452</v>
      </c>
      <c r="D129" s="137" t="str">
        <f>ANALYTICS_BASE!$R65</f>
        <v>5. RACK SIMPLE</v>
      </c>
      <c r="E129" s="117">
        <f>ANALYTICS_BASE!$S65</f>
        <v>5.63</v>
      </c>
      <c r="F129" s="115">
        <f>ANALYTICS_BASE!$U65</f>
        <v>2544.7599999999998</v>
      </c>
      <c r="G129" s="115">
        <f>ANALYTICS_BASE!$V65</f>
        <v>723.2</v>
      </c>
      <c r="H129" s="118">
        <f>ANALYTICS_BASE!$W65</f>
        <v>1821.5599999999997</v>
      </c>
      <c r="K129" s="105" t="s">
        <v>388</v>
      </c>
      <c r="L129" s="105"/>
      <c r="M129" s="105"/>
      <c r="N129" s="105"/>
      <c r="O129" s="105"/>
      <c r="P129" s="105"/>
      <c r="Q129" s="105"/>
      <c r="R129" s="105"/>
    </row>
    <row r="130" spans="1:18" x14ac:dyDescent="0.35">
      <c r="A130" s="135" t="str">
        <f>ANALYTICS_BASE!$P66</f>
        <v>SKU00066</v>
      </c>
      <c r="B130" s="136" t="str">
        <f>ANALYTICS_BASE!$T66</f>
        <v>Filtros</v>
      </c>
      <c r="C130" s="115">
        <f>ANALYTICS_BASE!$Q66</f>
        <v>417</v>
      </c>
      <c r="D130" s="137" t="str">
        <f>ANALYTICS_BASE!$R66</f>
        <v>5. RACK SIMPLE</v>
      </c>
      <c r="E130" s="117">
        <f>ANALYTICS_BASE!$S66</f>
        <v>5.63</v>
      </c>
      <c r="F130" s="115">
        <f>ANALYTICS_BASE!$U66</f>
        <v>2347.71</v>
      </c>
      <c r="G130" s="115">
        <f>ANALYTICS_BASE!$V66</f>
        <v>667.2</v>
      </c>
      <c r="H130" s="118">
        <f>ANALYTICS_BASE!$W66</f>
        <v>1680.51</v>
      </c>
      <c r="K130" s="108" t="s">
        <v>436</v>
      </c>
      <c r="L130" s="108"/>
      <c r="M130" s="108"/>
      <c r="N130" s="108"/>
      <c r="O130" s="108"/>
      <c r="P130" s="108"/>
      <c r="Q130" s="108"/>
      <c r="R130" s="108"/>
    </row>
    <row r="131" spans="1:18" x14ac:dyDescent="0.35">
      <c r="A131" s="135" t="str">
        <f>ANALYTICS_BASE!$P67</f>
        <v>SKU00068</v>
      </c>
      <c r="B131" s="136" t="str">
        <f>ANALYTICS_BASE!$T67</f>
        <v>Pastillas</v>
      </c>
      <c r="C131" s="115">
        <f>ANALYTICS_BASE!$Q67</f>
        <v>415</v>
      </c>
      <c r="D131" s="137" t="str">
        <f>ANALYTICS_BASE!$R67</f>
        <v>7. MEZANNINE</v>
      </c>
      <c r="E131" s="117">
        <f>ANALYTICS_BASE!$S67</f>
        <v>6.42</v>
      </c>
      <c r="F131" s="115">
        <f>ANALYTICS_BASE!$U67</f>
        <v>2664.3</v>
      </c>
      <c r="G131" s="115">
        <f>ANALYTICS_BASE!$V67</f>
        <v>664</v>
      </c>
      <c r="H131" s="118">
        <f>ANALYTICS_BASE!$W67</f>
        <v>2000.3000000000002</v>
      </c>
      <c r="K131" s="108"/>
      <c r="L131" s="108"/>
      <c r="M131" s="108"/>
      <c r="N131" s="108"/>
      <c r="O131" s="108"/>
      <c r="P131" s="108"/>
      <c r="Q131" s="108"/>
      <c r="R131" s="108"/>
    </row>
    <row r="132" spans="1:18" x14ac:dyDescent="0.35">
      <c r="A132" s="135" t="str">
        <f>ANALYTICS_BASE!$P68</f>
        <v>SKU00075</v>
      </c>
      <c r="B132" s="136" t="str">
        <f>ANALYTICS_BASE!$T68</f>
        <v>Soportes</v>
      </c>
      <c r="C132" s="115">
        <f>ANALYTICS_BASE!$Q68</f>
        <v>359</v>
      </c>
      <c r="D132" s="137" t="str">
        <f>ANALYTICS_BASE!$R68</f>
        <v>7. MEZANNINE</v>
      </c>
      <c r="E132" s="117">
        <f>ANALYTICS_BASE!$S68</f>
        <v>6.42</v>
      </c>
      <c r="F132" s="115">
        <f>ANALYTICS_BASE!$U68</f>
        <v>2304.7800000000002</v>
      </c>
      <c r="G132" s="115">
        <f>ANALYTICS_BASE!$V68</f>
        <v>574.4</v>
      </c>
      <c r="H132" s="118">
        <f>ANALYTICS_BASE!$W68</f>
        <v>1730.38</v>
      </c>
      <c r="K132" s="108"/>
      <c r="L132" s="108"/>
      <c r="M132" s="108"/>
      <c r="N132" s="108"/>
      <c r="O132" s="108"/>
      <c r="P132" s="108"/>
      <c r="Q132" s="108"/>
      <c r="R132" s="108"/>
    </row>
    <row r="133" spans="1:18" x14ac:dyDescent="0.35">
      <c r="A133" s="135" t="str">
        <f>ANALYTICS_BASE!$P69</f>
        <v>SKU00078</v>
      </c>
      <c r="B133" s="136" t="str">
        <f>ANALYTICS_BASE!$T69</f>
        <v>Pastillas</v>
      </c>
      <c r="C133" s="115">
        <f>ANALYTICS_BASE!$Q69</f>
        <v>485</v>
      </c>
      <c r="D133" s="137" t="str">
        <f>ANALYTICS_BASE!$R69</f>
        <v>1. LLANTAS</v>
      </c>
      <c r="E133" s="117">
        <f>ANALYTICS_BASE!$S69</f>
        <v>8.0399999999999991</v>
      </c>
      <c r="F133" s="115">
        <f>ANALYTICS_BASE!$U69</f>
        <v>3899.3999999999996</v>
      </c>
      <c r="G133" s="115">
        <f>ANALYTICS_BASE!$V69</f>
        <v>776</v>
      </c>
      <c r="H133" s="118">
        <f>ANALYTICS_BASE!$W69</f>
        <v>3123.3999999999996</v>
      </c>
      <c r="K133" s="108"/>
      <c r="L133" s="108"/>
      <c r="M133" s="108"/>
      <c r="N133" s="108"/>
      <c r="O133" s="108"/>
      <c r="P133" s="108"/>
      <c r="Q133" s="108"/>
      <c r="R133" s="108"/>
    </row>
    <row r="134" spans="1:18" x14ac:dyDescent="0.35">
      <c r="A134" s="135" t="str">
        <f>ANALYTICS_BASE!$P70</f>
        <v>SKU00082</v>
      </c>
      <c r="B134" s="136" t="str">
        <f>ANALYTICS_BASE!$T70</f>
        <v>Lubricantes</v>
      </c>
      <c r="C134" s="115">
        <f>ANALYTICS_BASE!$Q70</f>
        <v>382</v>
      </c>
      <c r="D134" s="137" t="str">
        <f>ANALYTICS_BASE!$R70</f>
        <v>4. RACK BALDA</v>
      </c>
      <c r="E134" s="117">
        <f>ANALYTICS_BASE!$S70</f>
        <v>4.82</v>
      </c>
      <c r="F134" s="115">
        <f>ANALYTICS_BASE!$U70</f>
        <v>1841.24</v>
      </c>
      <c r="G134" s="115">
        <f>ANALYTICS_BASE!$V70</f>
        <v>611.20000000000005</v>
      </c>
      <c r="H134" s="118">
        <f>ANALYTICS_BASE!$W70</f>
        <v>1230.04</v>
      </c>
    </row>
    <row r="135" spans="1:18" x14ac:dyDescent="0.35">
      <c r="A135" s="135" t="str">
        <f>ANALYTICS_BASE!$P71</f>
        <v>SKU00083</v>
      </c>
      <c r="B135" s="136" t="str">
        <f>ANALYTICS_BASE!$T71</f>
        <v>Pastillas</v>
      </c>
      <c r="C135" s="115">
        <f>ANALYTICS_BASE!$Q71</f>
        <v>408</v>
      </c>
      <c r="D135" s="137" t="str">
        <f>ANALYTICS_BASE!$R71</f>
        <v>1. LLANTAS</v>
      </c>
      <c r="E135" s="117">
        <f>ANALYTICS_BASE!$S71</f>
        <v>8.0399999999999991</v>
      </c>
      <c r="F135" s="115">
        <f>ANALYTICS_BASE!$U71</f>
        <v>3280.3199999999997</v>
      </c>
      <c r="G135" s="115">
        <f>ANALYTICS_BASE!$V71</f>
        <v>652.80000000000007</v>
      </c>
      <c r="H135" s="118">
        <f>ANALYTICS_BASE!$W71</f>
        <v>2627.5199999999995</v>
      </c>
    </row>
    <row r="136" spans="1:18" x14ac:dyDescent="0.35">
      <c r="A136" s="135" t="str">
        <f>ANALYTICS_BASE!$P72</f>
        <v>SKU00084</v>
      </c>
      <c r="B136" s="136" t="str">
        <f>ANALYTICS_BASE!$T72</f>
        <v>Correas</v>
      </c>
      <c r="C136" s="115">
        <f>ANALYTICS_BASE!$Q72</f>
        <v>438</v>
      </c>
      <c r="D136" s="137" t="str">
        <f>ANALYTICS_BASE!$R72</f>
        <v>7. MEZANNINE</v>
      </c>
      <c r="E136" s="117">
        <f>ANALYTICS_BASE!$S72</f>
        <v>6.42</v>
      </c>
      <c r="F136" s="115">
        <f>ANALYTICS_BASE!$U72</f>
        <v>2811.96</v>
      </c>
      <c r="G136" s="115">
        <f>ANALYTICS_BASE!$V72</f>
        <v>700.80000000000007</v>
      </c>
      <c r="H136" s="118">
        <f>ANALYTICS_BASE!$W72</f>
        <v>2111.16</v>
      </c>
    </row>
    <row r="137" spans="1:18" x14ac:dyDescent="0.35">
      <c r="A137" s="135" t="str">
        <f>ANALYTICS_BASE!$P73</f>
        <v>SKU00086</v>
      </c>
      <c r="B137" s="136" t="str">
        <f>ANALYTICS_BASE!$T73</f>
        <v>Filtros</v>
      </c>
      <c r="C137" s="115">
        <f>ANALYTICS_BASE!$Q73</f>
        <v>361</v>
      </c>
      <c r="D137" s="137" t="str">
        <f>ANALYTICS_BASE!$R73</f>
        <v>1. LLANTAS</v>
      </c>
      <c r="E137" s="117">
        <f>ANALYTICS_BASE!$S73</f>
        <v>8.0399999999999991</v>
      </c>
      <c r="F137" s="115">
        <f>ANALYTICS_BASE!$U73</f>
        <v>2902.4399999999996</v>
      </c>
      <c r="G137" s="115">
        <f>ANALYTICS_BASE!$V73</f>
        <v>577.6</v>
      </c>
      <c r="H137" s="118">
        <f>ANALYTICS_BASE!$W73</f>
        <v>2324.8399999999997</v>
      </c>
    </row>
    <row r="138" spans="1:18" x14ac:dyDescent="0.35">
      <c r="A138" s="135" t="str">
        <f>ANALYTICS_BASE!$P74</f>
        <v>SKU00095</v>
      </c>
      <c r="B138" s="136" t="str">
        <f>ANALYTICS_BASE!$T74</f>
        <v>Soportes</v>
      </c>
      <c r="C138" s="115">
        <f>ANALYTICS_BASE!$Q74</f>
        <v>402</v>
      </c>
      <c r="D138" s="137" t="str">
        <f>ANALYTICS_BASE!$R74</f>
        <v>4. RACK BALDA</v>
      </c>
      <c r="E138" s="117">
        <f>ANALYTICS_BASE!$S74</f>
        <v>4.82</v>
      </c>
      <c r="F138" s="115">
        <f>ANALYTICS_BASE!$U74</f>
        <v>1937.64</v>
      </c>
      <c r="G138" s="115">
        <f>ANALYTICS_BASE!$V74</f>
        <v>643.20000000000005</v>
      </c>
      <c r="H138" s="118">
        <f>ANALYTICS_BASE!$W74</f>
        <v>1294.44</v>
      </c>
    </row>
    <row r="139" spans="1:18" x14ac:dyDescent="0.35">
      <c r="A139" s="138" t="s">
        <v>345</v>
      </c>
      <c r="B139" s="139"/>
      <c r="C139" s="140">
        <f>SUM(C121:C138)</f>
        <v>7534</v>
      </c>
      <c r="D139" s="141"/>
      <c r="E139" s="141"/>
      <c r="F139" s="140">
        <f>SUM(F121:F138)</f>
        <v>45069.549999999996</v>
      </c>
      <c r="G139" s="140">
        <f>SUM(G121:G138)</f>
        <v>12054.4</v>
      </c>
      <c r="H139" s="142">
        <f>SUM(H121:H138)</f>
        <v>33015.149999999994</v>
      </c>
    </row>
    <row r="142" spans="1:18" ht="26" customHeight="1" x14ac:dyDescent="0.35">
      <c r="A142" s="102" t="s">
        <v>437</v>
      </c>
      <c r="B142" s="101"/>
      <c r="C142" s="101"/>
      <c r="D142" s="101"/>
      <c r="E142" s="101"/>
      <c r="F142" s="101"/>
      <c r="G142" s="101"/>
      <c r="H142" s="101"/>
      <c r="I142" s="101"/>
      <c r="J142" s="101"/>
      <c r="K142" s="101"/>
      <c r="L142" s="101"/>
      <c r="M142" s="101"/>
      <c r="N142" s="101"/>
      <c r="O142" s="101"/>
      <c r="P142" s="101"/>
      <c r="Q142" s="101"/>
      <c r="R142" s="101"/>
    </row>
    <row r="143" spans="1:18" x14ac:dyDescent="0.35">
      <c r="K143" s="103" t="s">
        <v>384</v>
      </c>
      <c r="L143" s="103"/>
      <c r="M143" s="103"/>
      <c r="N143" s="103"/>
      <c r="O143" s="103"/>
      <c r="P143" s="103"/>
      <c r="Q143" s="103"/>
      <c r="R143" s="103"/>
    </row>
    <row r="144" spans="1:18" x14ac:dyDescent="0.35">
      <c r="K144" s="106" t="s">
        <v>438</v>
      </c>
      <c r="L144" s="106"/>
      <c r="M144" s="106"/>
      <c r="N144" s="106"/>
      <c r="O144" s="106"/>
      <c r="P144" s="106"/>
      <c r="Q144" s="106"/>
      <c r="R144" s="106"/>
    </row>
    <row r="145" spans="1:18" x14ac:dyDescent="0.35">
      <c r="K145" s="106"/>
      <c r="L145" s="106"/>
      <c r="M145" s="106"/>
      <c r="N145" s="106"/>
      <c r="O145" s="106"/>
      <c r="P145" s="106"/>
      <c r="Q145" s="106"/>
      <c r="R145" s="106"/>
    </row>
    <row r="146" spans="1:18" x14ac:dyDescent="0.35">
      <c r="K146" s="106"/>
      <c r="L146" s="106"/>
      <c r="M146" s="106"/>
      <c r="N146" s="106"/>
      <c r="O146" s="106"/>
      <c r="P146" s="106"/>
      <c r="Q146" s="106"/>
      <c r="R146" s="106"/>
    </row>
    <row r="147" spans="1:18" x14ac:dyDescent="0.35">
      <c r="K147" s="106"/>
      <c r="L147" s="106"/>
      <c r="M147" s="106"/>
      <c r="N147" s="106"/>
      <c r="O147" s="106"/>
      <c r="P147" s="106"/>
      <c r="Q147" s="106"/>
      <c r="R147" s="106"/>
    </row>
    <row r="148" spans="1:18" x14ac:dyDescent="0.35">
      <c r="K148" s="104" t="s">
        <v>386</v>
      </c>
      <c r="L148" s="104"/>
      <c r="M148" s="104"/>
      <c r="N148" s="104"/>
      <c r="O148" s="104"/>
      <c r="P148" s="104"/>
      <c r="Q148" s="104"/>
      <c r="R148" s="104"/>
    </row>
    <row r="149" spans="1:18" x14ac:dyDescent="0.35">
      <c r="K149" s="107" t="s">
        <v>439</v>
      </c>
      <c r="L149" s="107"/>
      <c r="M149" s="107"/>
      <c r="N149" s="107"/>
      <c r="O149" s="107"/>
      <c r="P149" s="107"/>
      <c r="Q149" s="107"/>
      <c r="R149" s="107"/>
    </row>
    <row r="150" spans="1:18" x14ac:dyDescent="0.35">
      <c r="K150" s="107"/>
      <c r="L150" s="107"/>
      <c r="M150" s="107"/>
      <c r="N150" s="107"/>
      <c r="O150" s="107"/>
      <c r="P150" s="107"/>
      <c r="Q150" s="107"/>
      <c r="R150" s="107"/>
    </row>
    <row r="151" spans="1:18" x14ac:dyDescent="0.35">
      <c r="K151" s="107"/>
      <c r="L151" s="107"/>
      <c r="M151" s="107"/>
      <c r="N151" s="107"/>
      <c r="O151" s="107"/>
      <c r="P151" s="107"/>
      <c r="Q151" s="107"/>
      <c r="R151" s="107"/>
    </row>
    <row r="152" spans="1:18" x14ac:dyDescent="0.35">
      <c r="K152" s="107"/>
      <c r="L152" s="107"/>
      <c r="M152" s="107"/>
      <c r="N152" s="107"/>
      <c r="O152" s="107"/>
      <c r="P152" s="107"/>
      <c r="Q152" s="107"/>
      <c r="R152" s="107"/>
    </row>
    <row r="153" spans="1:18" x14ac:dyDescent="0.35">
      <c r="K153" s="105" t="s">
        <v>388</v>
      </c>
      <c r="L153" s="105"/>
      <c r="M153" s="105"/>
      <c r="N153" s="105"/>
      <c r="O153" s="105"/>
      <c r="P153" s="105"/>
      <c r="Q153" s="105"/>
      <c r="R153" s="105"/>
    </row>
    <row r="154" spans="1:18" x14ac:dyDescent="0.35">
      <c r="K154" s="108" t="s">
        <v>440</v>
      </c>
      <c r="L154" s="108"/>
      <c r="M154" s="108"/>
      <c r="N154" s="108"/>
      <c r="O154" s="108"/>
      <c r="P154" s="108"/>
      <c r="Q154" s="108"/>
      <c r="R154" s="108"/>
    </row>
    <row r="155" spans="1:18" x14ac:dyDescent="0.35">
      <c r="K155" s="108"/>
      <c r="L155" s="108"/>
      <c r="M155" s="108"/>
      <c r="N155" s="108"/>
      <c r="O155" s="108"/>
      <c r="P155" s="108"/>
      <c r="Q155" s="108"/>
      <c r="R155" s="108"/>
    </row>
    <row r="156" spans="1:18" x14ac:dyDescent="0.35">
      <c r="K156" s="108"/>
      <c r="L156" s="108"/>
      <c r="M156" s="108"/>
      <c r="N156" s="108"/>
      <c r="O156" s="108"/>
      <c r="P156" s="108"/>
      <c r="Q156" s="108"/>
      <c r="R156" s="108"/>
    </row>
    <row r="157" spans="1:18" x14ac:dyDescent="0.35">
      <c r="K157" s="108"/>
      <c r="L157" s="108"/>
      <c r="M157" s="108"/>
      <c r="N157" s="108"/>
      <c r="O157" s="108"/>
      <c r="P157" s="108"/>
      <c r="Q157" s="108"/>
      <c r="R157" s="108"/>
    </row>
    <row r="159" spans="1:18" ht="26" customHeight="1" x14ac:dyDescent="0.35">
      <c r="A159" s="102" t="s">
        <v>441</v>
      </c>
      <c r="B159" s="101"/>
      <c r="C159" s="101"/>
      <c r="D159" s="101"/>
      <c r="E159" s="101"/>
      <c r="F159" s="101"/>
      <c r="G159" s="101"/>
      <c r="H159" s="101"/>
      <c r="I159" s="101"/>
      <c r="J159" s="101"/>
      <c r="K159" s="101"/>
      <c r="L159" s="101"/>
      <c r="M159" s="101"/>
      <c r="N159" s="101"/>
      <c r="O159" s="101"/>
      <c r="P159" s="101"/>
      <c r="Q159" s="101"/>
      <c r="R159" s="101"/>
    </row>
    <row r="160" spans="1:18" x14ac:dyDescent="0.35">
      <c r="K160" s="103" t="s">
        <v>384</v>
      </c>
      <c r="L160" s="103"/>
      <c r="M160" s="103"/>
      <c r="N160" s="103"/>
      <c r="O160" s="103"/>
      <c r="P160" s="103"/>
      <c r="Q160" s="103"/>
      <c r="R160" s="103"/>
    </row>
    <row r="161" spans="1:18" x14ac:dyDescent="0.35">
      <c r="K161" s="106" t="s">
        <v>442</v>
      </c>
      <c r="L161" s="106"/>
      <c r="M161" s="106"/>
      <c r="N161" s="106"/>
      <c r="O161" s="106"/>
      <c r="P161" s="106"/>
      <c r="Q161" s="106"/>
      <c r="R161" s="106"/>
    </row>
    <row r="162" spans="1:18" x14ac:dyDescent="0.35">
      <c r="K162" s="106"/>
      <c r="L162" s="106"/>
      <c r="M162" s="106"/>
      <c r="N162" s="106"/>
      <c r="O162" s="106"/>
      <c r="P162" s="106"/>
      <c r="Q162" s="106"/>
      <c r="R162" s="106"/>
    </row>
    <row r="163" spans="1:18" x14ac:dyDescent="0.35">
      <c r="K163" s="106"/>
      <c r="L163" s="106"/>
      <c r="M163" s="106"/>
      <c r="N163" s="106"/>
      <c r="O163" s="106"/>
      <c r="P163" s="106"/>
      <c r="Q163" s="106"/>
      <c r="R163" s="106"/>
    </row>
    <row r="164" spans="1:18" x14ac:dyDescent="0.35">
      <c r="K164" s="106"/>
      <c r="L164" s="106"/>
      <c r="M164" s="106"/>
      <c r="N164" s="106"/>
      <c r="O164" s="106"/>
      <c r="P164" s="106"/>
      <c r="Q164" s="106"/>
      <c r="R164" s="106"/>
    </row>
    <row r="165" spans="1:18" x14ac:dyDescent="0.35">
      <c r="K165" s="104" t="s">
        <v>386</v>
      </c>
      <c r="L165" s="104"/>
      <c r="M165" s="104"/>
      <c r="N165" s="104"/>
      <c r="O165" s="104"/>
      <c r="P165" s="104"/>
      <c r="Q165" s="104"/>
      <c r="R165" s="104"/>
    </row>
    <row r="166" spans="1:18" x14ac:dyDescent="0.35">
      <c r="K166" s="107" t="s">
        <v>443</v>
      </c>
      <c r="L166" s="107"/>
      <c r="M166" s="107"/>
      <c r="N166" s="107"/>
      <c r="O166" s="107"/>
      <c r="P166" s="107"/>
      <c r="Q166" s="107"/>
      <c r="R166" s="107"/>
    </row>
    <row r="167" spans="1:18" x14ac:dyDescent="0.35">
      <c r="K167" s="107"/>
      <c r="L167" s="107"/>
      <c r="M167" s="107"/>
      <c r="N167" s="107"/>
      <c r="O167" s="107"/>
      <c r="P167" s="107"/>
      <c r="Q167" s="107"/>
      <c r="R167" s="107"/>
    </row>
    <row r="168" spans="1:18" x14ac:dyDescent="0.35">
      <c r="K168" s="107"/>
      <c r="L168" s="107"/>
      <c r="M168" s="107"/>
      <c r="N168" s="107"/>
      <c r="O168" s="107"/>
      <c r="P168" s="107"/>
      <c r="Q168" s="107"/>
      <c r="R168" s="107"/>
    </row>
    <row r="169" spans="1:18" x14ac:dyDescent="0.35">
      <c r="K169" s="107"/>
      <c r="L169" s="107"/>
      <c r="M169" s="107"/>
      <c r="N169" s="107"/>
      <c r="O169" s="107"/>
      <c r="P169" s="107"/>
      <c r="Q169" s="107"/>
      <c r="R169" s="107"/>
    </row>
    <row r="170" spans="1:18" x14ac:dyDescent="0.35">
      <c r="K170" s="105" t="s">
        <v>388</v>
      </c>
      <c r="L170" s="105"/>
      <c r="M170" s="105"/>
      <c r="N170" s="105"/>
      <c r="O170" s="105"/>
      <c r="P170" s="105"/>
      <c r="Q170" s="105"/>
      <c r="R170" s="105"/>
    </row>
    <row r="171" spans="1:18" x14ac:dyDescent="0.35">
      <c r="K171" s="108" t="s">
        <v>444</v>
      </c>
      <c r="L171" s="108"/>
      <c r="M171" s="108"/>
      <c r="N171" s="108"/>
      <c r="O171" s="108"/>
      <c r="P171" s="108"/>
      <c r="Q171" s="108"/>
      <c r="R171" s="108"/>
    </row>
    <row r="172" spans="1:18" x14ac:dyDescent="0.35">
      <c r="K172" s="108"/>
      <c r="L172" s="108"/>
      <c r="M172" s="108"/>
      <c r="N172" s="108"/>
      <c r="O172" s="108"/>
      <c r="P172" s="108"/>
      <c r="Q172" s="108"/>
      <c r="R172" s="108"/>
    </row>
    <row r="173" spans="1:18" x14ac:dyDescent="0.35">
      <c r="K173" s="108"/>
      <c r="L173" s="108"/>
      <c r="M173" s="108"/>
      <c r="N173" s="108"/>
      <c r="O173" s="108"/>
      <c r="P173" s="108"/>
      <c r="Q173" s="108"/>
      <c r="R173" s="108"/>
    </row>
    <row r="174" spans="1:18" x14ac:dyDescent="0.35">
      <c r="K174" s="108"/>
      <c r="L174" s="108"/>
      <c r="M174" s="108"/>
      <c r="N174" s="108"/>
      <c r="O174" s="108"/>
      <c r="P174" s="108"/>
      <c r="Q174" s="108"/>
      <c r="R174" s="108"/>
    </row>
    <row r="176" spans="1:18" ht="26" customHeight="1" x14ac:dyDescent="0.35">
      <c r="A176" s="102" t="s">
        <v>448</v>
      </c>
      <c r="B176" s="101"/>
      <c r="C176" s="101"/>
      <c r="D176" s="101"/>
      <c r="E176" s="101"/>
      <c r="F176" s="101"/>
      <c r="G176" s="101"/>
      <c r="H176" s="101"/>
      <c r="I176" s="101"/>
      <c r="J176" s="101"/>
      <c r="K176" s="101"/>
      <c r="L176" s="101"/>
      <c r="M176" s="101"/>
      <c r="N176" s="101"/>
      <c r="O176" s="101"/>
      <c r="P176" s="101"/>
      <c r="Q176" s="101"/>
      <c r="R176" s="101"/>
    </row>
    <row r="177" spans="11:18" x14ac:dyDescent="0.35">
      <c r="K177" s="103" t="s">
        <v>384</v>
      </c>
      <c r="L177" s="103"/>
      <c r="M177" s="103"/>
      <c r="N177" s="103"/>
      <c r="O177" s="103"/>
      <c r="P177" s="103"/>
      <c r="Q177" s="103"/>
      <c r="R177" s="103"/>
    </row>
    <row r="178" spans="11:18" x14ac:dyDescent="0.35">
      <c r="K178" s="106" t="s">
        <v>449</v>
      </c>
      <c r="L178" s="106"/>
      <c r="M178" s="106"/>
      <c r="N178" s="106"/>
      <c r="O178" s="106"/>
      <c r="P178" s="106"/>
      <c r="Q178" s="106"/>
      <c r="R178" s="106"/>
    </row>
    <row r="179" spans="11:18" x14ac:dyDescent="0.35">
      <c r="K179" s="106"/>
      <c r="L179" s="106"/>
      <c r="M179" s="106"/>
      <c r="N179" s="106"/>
      <c r="O179" s="106"/>
      <c r="P179" s="106"/>
      <c r="Q179" s="106"/>
      <c r="R179" s="106"/>
    </row>
    <row r="180" spans="11:18" x14ac:dyDescent="0.35">
      <c r="K180" s="106"/>
      <c r="L180" s="106"/>
      <c r="M180" s="106"/>
      <c r="N180" s="106"/>
      <c r="O180" s="106"/>
      <c r="P180" s="106"/>
      <c r="Q180" s="106"/>
      <c r="R180" s="106"/>
    </row>
    <row r="181" spans="11:18" x14ac:dyDescent="0.35">
      <c r="K181" s="106"/>
      <c r="L181" s="106"/>
      <c r="M181" s="106"/>
      <c r="N181" s="106"/>
      <c r="O181" s="106"/>
      <c r="P181" s="106"/>
      <c r="Q181" s="106"/>
      <c r="R181" s="106"/>
    </row>
    <row r="182" spans="11:18" x14ac:dyDescent="0.35">
      <c r="K182" s="104" t="s">
        <v>386</v>
      </c>
      <c r="L182" s="104"/>
      <c r="M182" s="104"/>
      <c r="N182" s="104"/>
      <c r="O182" s="104"/>
      <c r="P182" s="104"/>
      <c r="Q182" s="104"/>
      <c r="R182" s="104"/>
    </row>
    <row r="183" spans="11:18" x14ac:dyDescent="0.35">
      <c r="K183" s="107" t="s">
        <v>450</v>
      </c>
      <c r="L183" s="107"/>
      <c r="M183" s="107"/>
      <c r="N183" s="107"/>
      <c r="O183" s="107"/>
      <c r="P183" s="107"/>
      <c r="Q183" s="107"/>
      <c r="R183" s="107"/>
    </row>
    <row r="184" spans="11:18" x14ac:dyDescent="0.35">
      <c r="K184" s="107"/>
      <c r="L184" s="107"/>
      <c r="M184" s="107"/>
      <c r="N184" s="107"/>
      <c r="O184" s="107"/>
      <c r="P184" s="107"/>
      <c r="Q184" s="107"/>
      <c r="R184" s="107"/>
    </row>
    <row r="185" spans="11:18" x14ac:dyDescent="0.35">
      <c r="K185" s="107"/>
      <c r="L185" s="107"/>
      <c r="M185" s="107"/>
      <c r="N185" s="107"/>
      <c r="O185" s="107"/>
      <c r="P185" s="107"/>
      <c r="Q185" s="107"/>
      <c r="R185" s="107"/>
    </row>
    <row r="186" spans="11:18" x14ac:dyDescent="0.35">
      <c r="K186" s="107"/>
      <c r="L186" s="107"/>
      <c r="M186" s="107"/>
      <c r="N186" s="107"/>
      <c r="O186" s="107"/>
      <c r="P186" s="107"/>
      <c r="Q186" s="107"/>
      <c r="R186" s="107"/>
    </row>
    <row r="187" spans="11:18" x14ac:dyDescent="0.35">
      <c r="K187" s="105" t="s">
        <v>388</v>
      </c>
      <c r="L187" s="105"/>
      <c r="M187" s="105"/>
      <c r="N187" s="105"/>
      <c r="O187" s="105"/>
      <c r="P187" s="105"/>
      <c r="Q187" s="105"/>
      <c r="R187" s="105"/>
    </row>
    <row r="188" spans="11:18" x14ac:dyDescent="0.35">
      <c r="K188" s="108" t="s">
        <v>451</v>
      </c>
      <c r="L188" s="108"/>
      <c r="M188" s="108"/>
      <c r="N188" s="108"/>
      <c r="O188" s="108"/>
      <c r="P188" s="108"/>
      <c r="Q188" s="108"/>
      <c r="R188" s="108"/>
    </row>
    <row r="189" spans="11:18" x14ac:dyDescent="0.35">
      <c r="K189" s="108"/>
      <c r="L189" s="108"/>
      <c r="M189" s="108"/>
      <c r="N189" s="108"/>
      <c r="O189" s="108"/>
      <c r="P189" s="108"/>
      <c r="Q189" s="108"/>
      <c r="R189" s="108"/>
    </row>
    <row r="190" spans="11:18" x14ac:dyDescent="0.35">
      <c r="K190" s="108"/>
      <c r="L190" s="108"/>
      <c r="M190" s="108"/>
      <c r="N190" s="108"/>
      <c r="O190" s="108"/>
      <c r="P190" s="108"/>
      <c r="Q190" s="108"/>
      <c r="R190" s="108"/>
    </row>
    <row r="191" spans="11:18" x14ac:dyDescent="0.35">
      <c r="K191" s="108"/>
      <c r="L191" s="108"/>
      <c r="M191" s="108"/>
      <c r="N191" s="108"/>
      <c r="O191" s="108"/>
      <c r="P191" s="108"/>
      <c r="Q191" s="108"/>
      <c r="R191" s="108"/>
    </row>
  </sheetData>
  <mergeCells count="108">
    <mergeCell ref="K178:R181"/>
    <mergeCell ref="K182:R182"/>
    <mergeCell ref="K183:R186"/>
    <mergeCell ref="K187:R187"/>
    <mergeCell ref="K188:R191"/>
    <mergeCell ref="K165:R165"/>
    <mergeCell ref="K166:R169"/>
    <mergeCell ref="K170:R170"/>
    <mergeCell ref="K171:R174"/>
    <mergeCell ref="A176:R176"/>
    <mergeCell ref="K177:R177"/>
    <mergeCell ref="K149:R152"/>
    <mergeCell ref="K153:R153"/>
    <mergeCell ref="K154:R157"/>
    <mergeCell ref="A159:R159"/>
    <mergeCell ref="K160:R160"/>
    <mergeCell ref="K161:R164"/>
    <mergeCell ref="K129:R129"/>
    <mergeCell ref="K130:R133"/>
    <mergeCell ref="A142:R142"/>
    <mergeCell ref="K143:R143"/>
    <mergeCell ref="K144:R147"/>
    <mergeCell ref="K148:R148"/>
    <mergeCell ref="A117:R117"/>
    <mergeCell ref="A118:R118"/>
    <mergeCell ref="K119:R119"/>
    <mergeCell ref="K120:R123"/>
    <mergeCell ref="K124:R124"/>
    <mergeCell ref="K125:R128"/>
    <mergeCell ref="K104:R104"/>
    <mergeCell ref="K105:R107"/>
    <mergeCell ref="K108:R108"/>
    <mergeCell ref="K109:R111"/>
    <mergeCell ref="K112:R112"/>
    <mergeCell ref="K113:R115"/>
    <mergeCell ref="K91:R93"/>
    <mergeCell ref="K94:R94"/>
    <mergeCell ref="K95:R97"/>
    <mergeCell ref="K98:R98"/>
    <mergeCell ref="K99:R101"/>
    <mergeCell ref="A103:R103"/>
    <mergeCell ref="K80:R80"/>
    <mergeCell ref="K81:R83"/>
    <mergeCell ref="K84:R84"/>
    <mergeCell ref="K85:R87"/>
    <mergeCell ref="A89:R89"/>
    <mergeCell ref="K90:R90"/>
    <mergeCell ref="K67:R69"/>
    <mergeCell ref="K70:R70"/>
    <mergeCell ref="K71:R73"/>
    <mergeCell ref="A75:R75"/>
    <mergeCell ref="K76:R76"/>
    <mergeCell ref="K77:R79"/>
    <mergeCell ref="A67:C67"/>
    <mergeCell ref="A68:C68"/>
    <mergeCell ref="A69:C69"/>
    <mergeCell ref="A70:C70"/>
    <mergeCell ref="A71:C71"/>
    <mergeCell ref="A72:C72"/>
    <mergeCell ref="K57:R59"/>
    <mergeCell ref="A61:R61"/>
    <mergeCell ref="A63:C63"/>
    <mergeCell ref="A64:C64"/>
    <mergeCell ref="A65:C65"/>
    <mergeCell ref="A66:C66"/>
    <mergeCell ref="K62:R62"/>
    <mergeCell ref="K63:R65"/>
    <mergeCell ref="K66:R66"/>
    <mergeCell ref="A47:R47"/>
    <mergeCell ref="K48:R48"/>
    <mergeCell ref="K49:R51"/>
    <mergeCell ref="K52:R52"/>
    <mergeCell ref="K53:R55"/>
    <mergeCell ref="K56:R56"/>
    <mergeCell ref="A41:C41"/>
    <mergeCell ref="A42:C42"/>
    <mergeCell ref="A43:C43"/>
    <mergeCell ref="A44:C44"/>
    <mergeCell ref="K34:R34"/>
    <mergeCell ref="K35:R37"/>
    <mergeCell ref="K38:R38"/>
    <mergeCell ref="K39:R41"/>
    <mergeCell ref="K42:R42"/>
    <mergeCell ref="K43:R45"/>
    <mergeCell ref="A35:C35"/>
    <mergeCell ref="A36:C36"/>
    <mergeCell ref="A37:C37"/>
    <mergeCell ref="A38:C38"/>
    <mergeCell ref="A39:C39"/>
    <mergeCell ref="A40:C40"/>
    <mergeCell ref="K21:R23"/>
    <mergeCell ref="K24:R24"/>
    <mergeCell ref="K25:R27"/>
    <mergeCell ref="K28:R28"/>
    <mergeCell ref="K29:R31"/>
    <mergeCell ref="A33:R33"/>
    <mergeCell ref="K10:R10"/>
    <mergeCell ref="K11:R13"/>
    <mergeCell ref="K14:R14"/>
    <mergeCell ref="K15:R17"/>
    <mergeCell ref="A19:R19"/>
    <mergeCell ref="K20:R20"/>
    <mergeCell ref="A1:R1"/>
    <mergeCell ref="A2:R2"/>
    <mergeCell ref="A3:R3"/>
    <mergeCell ref="A5:R5"/>
    <mergeCell ref="K6:R6"/>
    <mergeCell ref="K7:R9"/>
  </mergeCells>
  <conditionalFormatting sqref="D36:D44">
    <cfRule type="colorScale" priority="1">
      <colorScale>
        <cfvo type="min"/>
        <cfvo type="percentile" val="50"/>
        <cfvo type="max"/>
        <color rgb="FFFFFFFF"/>
        <color rgb="FFFFD966"/>
        <color rgb="FFC00000"/>
      </colorScale>
    </cfRule>
  </conditionalFormatting>
  <conditionalFormatting sqref="G36:G44">
    <cfRule type="colorScale" priority="2">
      <colorScale>
        <cfvo type="min"/>
        <cfvo type="percentile" val="50"/>
        <cfvo type="max"/>
        <color rgb="FFFFFFFF"/>
        <color rgb="FFF8CBAD"/>
        <color rgb="FF843C0C"/>
      </colorScale>
    </cfRule>
  </conditionalFormatting>
  <conditionalFormatting sqref="I64:I72">
    <cfRule type="containsText" dxfId="1" priority="4" operator="containsText" text="lejana">
      <formula>NOT(ISERROR(SEARCH("lejana",I64)))</formula>
    </cfRule>
  </conditionalFormatting>
  <conditionalFormatting sqref="I64:I72">
    <cfRule type="containsText" dxfId="0" priority="5" operator="containsText" text="premium">
      <formula>NOT(ISERROR(SEARCH("premium",I64)))</formula>
    </cfRule>
  </conditionalFormatting>
  <conditionalFormatting sqref="H121:H138">
    <cfRule type="dataBar" priority="6">
      <dataBar>
        <cfvo type="min"/>
        <cfvo type="max"/>
        <color rgb="FF63BE7B"/>
      </dataBar>
      <extLst>
        <ext xmlns:x14="http://schemas.microsoft.com/office/spreadsheetml/2009/9/main" uri="{B025F937-C7B1-47D3-B67F-A62EFF666E3E}">
          <x14:id>{2C12A23A-A809-45A9-9E82-BF518755810F}</x14:id>
        </ext>
      </extLst>
    </cfRule>
  </conditionalFormatting>
  <conditionalFormatting sqref="E64:G72">
    <cfRule type="colorScale" priority="7">
      <colorScale>
        <cfvo type="min"/>
        <cfvo type="num" val="4"/>
        <cfvo type="max"/>
        <color rgb="FFFFFFFF"/>
        <color rgb="FF9DC3E6"/>
        <color rgb="FF1F3864"/>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2C12A23A-A809-45A9-9E82-BF518755810F}">
            <x14:dataBar minLength="0" maxLength="100" direction="leftToRight" negativeBarColorSameAsPositive="1" axisPosition="none">
              <x14:cfvo type="min"/>
              <x14:cfvo type="max"/>
            </x14:dataBar>
          </x14:cfRule>
          <xm:sqref>H121:H138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PORTADA</vt:lpstr>
      <vt:lpstr>RESUMEN</vt:lpstr>
      <vt:lpstr>GLOSARIO_GUÍA</vt:lpstr>
      <vt:lpstr>HALLAZGOS_PRELIMINARES</vt:lpstr>
      <vt:lpstr>MAESTRO_SKUs</vt:lpstr>
      <vt:lpstr>ROTACIÓN</vt:lpstr>
      <vt:lpstr>STOCK_ACTUAL</vt:lpstr>
      <vt:lpstr>LAYOUT_CD</vt:lpstr>
      <vt:lpstr>OCUPACION_POR_ZONA</vt:lpstr>
      <vt:lpstr>PEDIDOS ACTUAL</vt:lpstr>
      <vt:lpstr>CONSTRUYE_TU_SLOTTING</vt:lpstr>
      <vt:lpstr>ANALYTICS_BASE</vt:lpstr>
      <vt:lpstr>DASHBOARD_EJECUTIVO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Gianmarco Vega</dc:creator>
  <cp:keywords/>
  <dc:description/>
  <cp:lastModifiedBy>Mauricio Millan</cp:lastModifiedBy>
  <cp:revision/>
  <dcterms:created xsi:type="dcterms:W3CDTF">2026-08-17T13:42:18Z</dcterms:created>
  <dcterms:modified xsi:type="dcterms:W3CDTF">2026-08-19T20:55:44Z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d127fec-be1e-40ee-b325-1150ed8ebb89_Enabled">
    <vt:lpwstr>true</vt:lpwstr>
  </property>
  <property fmtid="{D5CDD505-2E9C-101B-9397-08002B2CF9AE}" pid="3" name="MSIP_Label_2d127fec-be1e-40ee-b325-1150ed8ebb89_SetDate">
    <vt:lpwstr>2026-08-17T14:06:07Z</vt:lpwstr>
  </property>
  <property fmtid="{D5CDD505-2E9C-101B-9397-08002B2CF9AE}" pid="4" name="MSIP_Label_2d127fec-be1e-40ee-b325-1150ed8ebb89_Method">
    <vt:lpwstr>Standard</vt:lpwstr>
  </property>
  <property fmtid="{D5CDD505-2E9C-101B-9397-08002B2CF9AE}" pid="5" name="MSIP_Label_2d127fec-be1e-40ee-b325-1150ed8ebb89_Name">
    <vt:lpwstr>POC Internal</vt:lpwstr>
  </property>
  <property fmtid="{D5CDD505-2E9C-101B-9397-08002B2CF9AE}" pid="6" name="MSIP_Label_2d127fec-be1e-40ee-b325-1150ed8ebb89_SiteId">
    <vt:lpwstr>038d1eb6-c4ba-4396-9150-1ad91c9469c6</vt:lpwstr>
  </property>
  <property fmtid="{D5CDD505-2E9C-101B-9397-08002B2CF9AE}" pid="7" name="MSIP_Label_2d127fec-be1e-40ee-b325-1150ed8ebb89_ActionId">
    <vt:lpwstr>b3506ed0-0eb0-4884-afd4-0bf08a98e5f8</vt:lpwstr>
  </property>
  <property fmtid="{D5CDD505-2E9C-101B-9397-08002B2CF9AE}" pid="8" name="MSIP_Label_2d127fec-be1e-40ee-b325-1150ed8ebb89_ContentBits">
    <vt:lpwstr>0</vt:lpwstr>
  </property>
  <property fmtid="{D5CDD505-2E9C-101B-9397-08002B2CF9AE}" pid="9" name="MSIP_Label_2d127fec-be1e-40ee-b325-1150ed8ebb89_Tag">
    <vt:lpwstr>10, 3, 0, 1</vt:lpwstr>
  </property>
</Properties>
</file>